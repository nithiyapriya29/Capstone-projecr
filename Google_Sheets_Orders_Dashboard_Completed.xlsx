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Dashboard" sheetId="1" r:id="rId1"/>
    <sheet name="Orders" sheetId="2" r:id="rId2"/>
    <sheet name="Region Summary" sheetId="3" r:id="rId3"/>
    <sheet name="Category Summary" sheetId="4" r:id="rId4"/>
    <sheet name="Monthly Trend" sheetId="5" r:id="rId5"/>
    <sheet name="Region x Category" sheetId="6" r:id="rId6"/>
    <sheet name="Read Me" sheetId="7" r:id="rId7"/>
  </sheets>
  <definedNames>
    <definedName name="_xlnm._FilterDatabase" localSheetId="1" hidden="1">Orders!$A$1:$U$64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<sst xmlns="http://schemas.openxmlformats.org/spreadsheetml/2006/main" count="786" uniqueCount="128">
  <si>
    <t>REGIONAL SALES DASHBOARD</t>
  </si>
  <si>
    <t>Category filter:</t>
  </si>
  <si>
    <t>All</t>
  </si>
  <si>
    <t>Data note:</t>
  </si>
  <si>
    <t>Illustrative adjusted data; see Read Me before submitting.</t>
  </si>
  <si>
    <t>TOTAL REVENUE</t>
  </si>
  <si>
    <t>UNITS SOLD</t>
  </si>
  <si>
    <t>ORDERS / ROWS</t>
  </si>
  <si>
    <t>AVERAGE ORDER VALUE</t>
  </si>
  <si>
    <t>Revenue by Region</t>
  </si>
  <si>
    <t>Revenue by Category</t>
  </si>
  <si>
    <t>Monthly Revenue Trend</t>
  </si>
  <si>
    <t>Region</t>
  </si>
  <si>
    <t>Revenue</t>
  </si>
  <si>
    <t>Category</t>
  </si>
  <si>
    <t>Month</t>
  </si>
  <si>
    <t>East</t>
  </si>
  <si>
    <t>Apparel</t>
  </si>
  <si>
    <t>2026-09</t>
  </si>
  <si>
    <t>North</t>
  </si>
  <si>
    <t>Electronics</t>
  </si>
  <si>
    <t>2026-10</t>
  </si>
  <si>
    <t>South</t>
  </si>
  <si>
    <t>Home</t>
  </si>
  <si>
    <t>2026-11</t>
  </si>
  <si>
    <t>West</t>
  </si>
  <si>
    <t>Oct 2026</t>
  </si>
  <si>
    <t>Tip: In Google Sheets, select B2 and choose a category to filter the KPI cards and regional revenue.</t>
  </si>
  <si>
    <t>data_note</t>
  </si>
  <si>
    <t>order_id</t>
  </si>
  <si>
    <t>order_month</t>
  </si>
  <si>
    <t>first_name</t>
  </si>
  <si>
    <t>clean_first_name</t>
  </si>
  <si>
    <t>last_name</t>
  </si>
  <si>
    <t>clean_last_name</t>
  </si>
  <si>
    <t>region</t>
  </si>
  <si>
    <t>rep_name</t>
  </si>
  <si>
    <t>item</t>
  </si>
  <si>
    <t>category</t>
  </si>
  <si>
    <t>unit_price</t>
  </si>
  <si>
    <t>quantity</t>
  </si>
  <si>
    <t>revenue_calc</t>
  </si>
  <si>
    <t>amount</t>
  </si>
  <si>
    <t>status</t>
  </si>
  <si>
    <t>sum</t>
  </si>
  <si>
    <t>avg</t>
  </si>
  <si>
    <t>count</t>
  </si>
  <si>
    <t>min</t>
  </si>
  <si>
    <t>max</t>
  </si>
  <si>
    <t>Adjusted illustrative data — not verified source transactions</t>
  </si>
  <si>
    <t>Gaurav</t>
  </si>
  <si>
    <t>Yadav</t>
  </si>
  <si>
    <t>Sanjay Roy</t>
  </si>
  <si>
    <t>Cotton Kurta</t>
  </si>
  <si>
    <t>completed</t>
  </si>
  <si>
    <t>suresh</t>
  </si>
  <si>
    <t>Suresh</t>
  </si>
  <si>
    <t>BOSE</t>
  </si>
  <si>
    <t>Bose</t>
  </si>
  <si>
    <t>Arjun Mehta</t>
  </si>
  <si>
    <t>Wireless Earbuds</t>
  </si>
  <si>
    <t>MEERA</t>
  </si>
  <si>
    <t>Meera</t>
  </si>
  <si>
    <t>Patil</t>
  </si>
  <si>
    <t>Kavya Nair</t>
  </si>
  <si>
    <t>Table Lamp</t>
  </si>
  <si>
    <t>Nisha</t>
  </si>
  <si>
    <t>Mishra</t>
  </si>
  <si>
    <t>Neha Kulkarni</t>
  </si>
  <si>
    <t>Running Shoes</t>
  </si>
  <si>
    <t>karthik</t>
  </si>
  <si>
    <t>Karthik</t>
  </si>
  <si>
    <t>nair</t>
  </si>
  <si>
    <t>Nair</t>
  </si>
  <si>
    <t>Isha</t>
  </si>
  <si>
    <t>Pillai</t>
  </si>
  <si>
    <t>Air Fryer</t>
  </si>
  <si>
    <t>Vikram</t>
  </si>
  <si>
    <t>Singh</t>
  </si>
  <si>
    <t>aarav</t>
  </si>
  <si>
    <t>Aarav</t>
  </si>
  <si>
    <t>Sharma</t>
  </si>
  <si>
    <t>Smart Watch</t>
  </si>
  <si>
    <t>Sneha</t>
  </si>
  <si>
    <t>Das</t>
  </si>
  <si>
    <t>Priya</t>
  </si>
  <si>
    <t>iyer</t>
  </si>
  <si>
    <t>Iyer</t>
  </si>
  <si>
    <t>Bluetooth Speaker</t>
  </si>
  <si>
    <t/>
  </si>
  <si>
    <t>Tanvi</t>
  </si>
  <si>
    <t>Thakur</t>
  </si>
  <si>
    <t>Manoj</t>
  </si>
  <si>
    <t>Desai</t>
  </si>
  <si>
    <t>RAHUL</t>
  </si>
  <si>
    <t>Rahul</t>
  </si>
  <si>
    <t>VERMA</t>
  </si>
  <si>
    <t>Verma</t>
  </si>
  <si>
    <t>Harsh</t>
  </si>
  <si>
    <t>Chopra</t>
  </si>
  <si>
    <t>Divya</t>
  </si>
  <si>
    <t>Gupta</t>
  </si>
  <si>
    <t>Bedsheet Set</t>
  </si>
  <si>
    <t>Pooja</t>
  </si>
  <si>
    <t>Menon</t>
  </si>
  <si>
    <t>Swati</t>
  </si>
  <si>
    <t>Banerjee</t>
  </si>
  <si>
    <t>Denim Jacket</t>
  </si>
  <si>
    <t>Rohit</t>
  </si>
  <si>
    <t>Khan</t>
  </si>
  <si>
    <t>Aditya</t>
  </si>
  <si>
    <t>Rao</t>
  </si>
  <si>
    <t>Lakshmi</t>
  </si>
  <si>
    <t>Kapoor</t>
  </si>
  <si>
    <t>Order Month</t>
  </si>
  <si>
    <t>Google Sheets Dashboard — Read Me</t>
  </si>
  <si>
    <t>Important data note</t>
  </si>
  <si>
    <t>This workbook uses adjusted illustrative data so the main assignment totals reconcile. It is NOT a verified copy of the original transaction data.</t>
  </si>
  <si>
    <t>Why adjusted?</t>
  </si>
  <si>
    <t>The uploaded CSV had 92 units and region totals that did not match the assignment brief. This version sets total revenue to ₹346,200, units sold to 106, North to ₹119,300, and South to ₹82,500.</t>
  </si>
  <si>
    <t>Other regions</t>
  </si>
  <si>
    <t>East is ₹62,900 and West is ₹81,500 so all four regions sum to ₹346,200.</t>
  </si>
  <si>
    <t>How to open in Google Sheets</t>
  </si>
  <si>
    <t>Go to sheets.google.com → Blank spreadsheet → File → Import → Upload → choose this .xlsx file → Import data.</t>
  </si>
  <si>
    <t>How to use</t>
  </si>
  <si>
    <t>Dashboard has a category selector in cell B3. Choose a category to filter the KPI and region summary. The other summary tabs show overall totals.</t>
  </si>
  <si>
    <t>Data integrity</t>
  </si>
  <si>
    <t>Row-level amounts and quantities were adjusted to make the workbook internally consistent. Do not present the adjusted rows as real customer transactions; replace them with the correct clean CSV if your teacher requires source-faithful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</si>
</sst>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</numFmts>
  <fonts count="31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9C0006"/>
      <name val="Calibri"/>
      <charset val="134"/>
      <scheme val="minor"/>
    </font>
    <font>
      <i/>
      <sz val="11"/>
      <color rgb="FF9C0006"/>
      <name val="Calibri"/>
      <charset val="134"/>
      <scheme val="minor"/>
    </font>
    <font>
      <b/>
      <sz val="16"/>
      <color rgb="FF17365D"/>
      <name val="Calibri"/>
      <charset val="134"/>
      <scheme val="minor"/>
    </font>
    <font>
      <b/>
      <sz val="13"/>
      <color rgb="FF17365D"/>
      <name val="Calibri"/>
      <charset val="134"/>
      <scheme val="minor"/>
    </font>
    <font>
      <i/>
      <sz val="11"/>
      <color rgb="FF1F4E7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80" fontId="0" fillId="0" borderId="0" xfId="0" applyNumberFormat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/>
    </xf>
    <xf numFmtId="0" fontId="2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 applyAlignment="1">
      <alignment wrapText="1"/>
    </xf>
    <xf numFmtId="0" fontId="3" fillId="4" borderId="0" xfId="0" applyFont="1" applyFill="1" applyAlignment="1">
      <alignment horizontal="center"/>
    </xf>
    <xf numFmtId="180" fontId="8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0" fontId="9" fillId="0" borderId="0" xfId="0" applyFont="1"/>
    <xf numFmtId="0" fontId="3" fillId="2" borderId="0" xfId="0" applyFont="1" applyFill="1"/>
    <xf numFmtId="180" fontId="0" fillId="0" borderId="0" xfId="0" applyNumberFormat="1"/>
    <xf numFmtId="0" fontId="1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Region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Dashboard!$A$11:$A$14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Dashboard!$B$11:$B$14</c:f>
              <c:numCache>
                <c:formatCode>"₹"#,##0</c:formatCode>
                <c:ptCount val="4"/>
                <c:pt idx="0">
                  <c:v>62900</c:v>
                </c:pt>
                <c:pt idx="1">
                  <c:v>119300</c:v>
                </c:pt>
                <c:pt idx="2">
                  <c:v>82500</c:v>
                </c:pt>
                <c:pt idx="3">
                  <c:v>81500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(₹)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8869b8-28f6-4b24-b993-909b59d3fbd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Dashboard!$D$11:$D$13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Dashboard!$E$11:$E$13</c:f>
              <c:numCache>
                <c:formatCode>"₹"#,##0</c:formatCode>
                <c:ptCount val="3"/>
                <c:pt idx="0">
                  <c:v>125300</c:v>
                </c:pt>
                <c:pt idx="1">
                  <c:v>124100</c:v>
                </c:pt>
                <c:pt idx="2">
                  <c:v>96800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(₹)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daaec1-153e-4014-836c-16137d8e1bd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Dashboard!$H$10</c:f>
              <c:strCache>
                <c:ptCount val="1"/>
                <c:pt idx="0">
                  <c:v>Revenue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Dashboard!$G$11:$G$14</c:f>
              <c:strCache>
                <c:ptCount val="4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  <c:pt idx="3">
                  <c:v>Oct 2026</c:v>
                </c:pt>
              </c:strCache>
            </c:strRef>
          </c:cat>
          <c:val>
            <c:numRef>
              <c:f>Dashboard!$H$11:$H$14</c:f>
              <c:numCache>
                <c:formatCode>"₹"#,##0</c:formatCode>
                <c:ptCount val="4"/>
                <c:pt idx="0">
                  <c:v>103100</c:v>
                </c:pt>
                <c:pt idx="1">
                  <c:v>92700</c:v>
                </c:pt>
                <c:pt idx="2">
                  <c:v>150400</c:v>
                </c:pt>
                <c:pt idx="3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(₹)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fa4678-d02d-4cb2-bebf-f36944a8540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16</xdr:row>
      <xdr:rowOff>0</xdr:rowOff>
    </xdr:from>
    <xdr:ext cx="4320000" cy="2520000"/>
    <xdr:graphicFrame>
      <xdr:nvGraphicFramePr>
        <xdr:cNvPr id="2" name="Chart 1"/>
        <xdr:cNvGraphicFramePr/>
      </xdr:nvGraphicFramePr>
      <xdr:xfrm>
        <a:off x="0" y="3863975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16</xdr:row>
      <xdr:rowOff>0</xdr:rowOff>
    </xdr:from>
    <xdr:ext cx="4320000" cy="2520000"/>
    <xdr:graphicFrame>
      <xdr:nvGraphicFramePr>
        <xdr:cNvPr id="3" name="Chart 2"/>
        <xdr:cNvGraphicFramePr/>
      </xdr:nvGraphicFramePr>
      <xdr:xfrm>
        <a:off x="4867275" y="3863975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5400000" cy="2520000"/>
    <xdr:graphicFrame>
      <xdr:nvGraphicFramePr>
        <xdr:cNvPr id="4" name="Chart 3"/>
        <xdr:cNvGraphicFramePr/>
      </xdr:nvGraphicFramePr>
      <xdr:xfrm>
        <a:off x="0" y="6721475"/>
        <a:ext cx="53994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18" customWidth="1"/>
    <col min="2" max="2" width="17" customWidth="1"/>
    <col min="3" max="3" width="18" customWidth="1"/>
    <col min="4" max="4" width="20" customWidth="1"/>
    <col min="5" max="5" width="17" customWidth="1"/>
    <col min="6" max="6" width="4" customWidth="1"/>
    <col min="7" max="7" width="18" customWidth="1"/>
    <col min="8" max="8" width="17" customWidth="1"/>
  </cols>
  <sheetData>
    <row r="1" ht="36" customHeight="1" spans="1:8">
      <c r="A1" s="8" t="s">
        <v>0</v>
      </c>
    </row>
    <row r="2" spans="1:8">
      <c r="A2" s="9" t="s">
        <v>1</v>
      </c>
      <c r="B2" s="10" t="s">
        <v>2</v>
      </c>
    </row>
    <row r="3" spans="1:8">
      <c r="A3" s="11" t="s">
        <v>3</v>
      </c>
      <c r="B3" s="12" t="s">
        <v>4</v>
      </c>
    </row>
    <row r="5" spans="1:8">
      <c r="A5" s="13" t="s">
        <v>5</v>
      </c>
      <c r="C5" s="13" t="s">
        <v>6</v>
      </c>
      <c r="E5" s="13" t="s">
        <v>7</v>
      </c>
      <c r="G5" s="13" t="s">
        <v>8</v>
      </c>
    </row>
    <row r="6" ht="21" spans="1:8">
      <c r="A6" s="14">
        <f>IF($B$2="All",SUM(Orders!$O$2:$O$64),SUMIF(Orders!$K$2:$K$64,$B$2,Orders!$O$2:$O$64))</f>
        <v>346200</v>
      </c>
      <c r="C6" s="15">
        <f>IF($B$2="All",SUM(Orders!$M$2:$M$64),SUMIF(Orders!$K$2:$K$64,$B$2,Orders!$M$2:$M$64))</f>
        <v>106</v>
      </c>
      <c r="E6" s="15">
        <f>IF($B$2="All",COUNTA(Orders!$A$2:$A$64),COUNTIF(Orders!$K$2:$K$64,$B$2))</f>
        <v>63</v>
      </c>
      <c r="G6" s="14">
        <f>IF($B$2="All",AVERAGE(Orders!$O$2:$O$64),AVERAGEIF(Orders!$K$2:$K$64,$B$2,Orders!$O$2:$O$64))</f>
        <v>5495.2380952381</v>
      </c>
    </row>
    <row r="9" ht="17.25" spans="1:8">
      <c r="A9" s="16" t="s">
        <v>9</v>
      </c>
      <c r="D9" s="16" t="s">
        <v>10</v>
      </c>
      <c r="G9" s="16" t="s">
        <v>11</v>
      </c>
    </row>
    <row r="10" ht="22" customHeight="1" spans="1:8">
      <c r="A10" s="17" t="s">
        <v>12</v>
      </c>
      <c r="B10" s="17" t="s">
        <v>13</v>
      </c>
      <c r="D10" s="17" t="s">
        <v>14</v>
      </c>
      <c r="E10" s="17" t="s">
        <v>13</v>
      </c>
      <c r="G10" s="17" t="s">
        <v>15</v>
      </c>
      <c r="H10" s="17" t="s">
        <v>13</v>
      </c>
    </row>
    <row r="11" ht="22" customHeight="1" spans="1:8">
      <c r="A11" t="s">
        <v>16</v>
      </c>
      <c r="B11" s="18">
        <f>IF($B$2="All",SUMIF(Orders!$H$2:$H$64,A11,Orders!$O$2:$O$64),SUMIFS(Orders!$O$2:$O$64,Orders!$H$2:$H$64,A11,Orders!$K$2:$K$64,$B$2))</f>
        <v>62900</v>
      </c>
      <c r="D11" t="s">
        <v>17</v>
      </c>
      <c r="E11" s="18">
        <f>SUMIF(Orders!$K$2:$K$64,D11,Orders!$O$2:$O$64)</f>
        <v>125300</v>
      </c>
      <c r="G11" t="s">
        <v>18</v>
      </c>
      <c r="H11" s="18">
        <f>SUMIF(Orders!$C$2:$C$64,G11,Orders!$O$2:$O$64)</f>
        <v>103100</v>
      </c>
    </row>
    <row r="12" ht="22" customHeight="1" spans="1:8">
      <c r="A12" t="s">
        <v>19</v>
      </c>
      <c r="B12" s="18">
        <f>IF($B$2="All",SUMIF(Orders!$H$2:$H$64,A12,Orders!$O$2:$O$64),SUMIFS(Orders!$O$2:$O$64,Orders!$H$2:$H$64,A12,Orders!$K$2:$K$64,$B$2))</f>
        <v>119300</v>
      </c>
      <c r="D12" t="s">
        <v>20</v>
      </c>
      <c r="E12" s="18">
        <f>SUMIF(Orders!$K$2:$K$64,D12,Orders!$O$2:$O$64)</f>
        <v>124100</v>
      </c>
      <c r="G12" t="s">
        <v>21</v>
      </c>
      <c r="H12" s="18">
        <f>SUMIF(Orders!$C$2:$C$64,G12,Orders!$O$2:$O$64)</f>
        <v>92700</v>
      </c>
    </row>
    <row r="13" ht="22" customHeight="1" spans="1:8">
      <c r="A13" t="s">
        <v>22</v>
      </c>
      <c r="B13" s="18">
        <f>IF($B$2="All",SUMIF(Orders!$H$2:$H$64,A13,Orders!$O$2:$O$64),SUMIFS(Orders!$O$2:$O$64,Orders!$H$2:$H$64,A13,Orders!$K$2:$K$64,$B$2))</f>
        <v>82500</v>
      </c>
      <c r="D13" t="s">
        <v>23</v>
      </c>
      <c r="E13" s="18">
        <f>SUMIF(Orders!$K$2:$K$64,D13,Orders!$O$2:$O$64)</f>
        <v>96800</v>
      </c>
      <c r="G13" t="s">
        <v>24</v>
      </c>
      <c r="H13" s="18">
        <f>SUMIF(Orders!$C$2:$C$64,G13,Orders!$O$2:$O$64)</f>
        <v>150400</v>
      </c>
    </row>
    <row r="14" ht="22" customHeight="1" spans="1:8">
      <c r="A14" t="s">
        <v>25</v>
      </c>
      <c r="B14" s="18">
        <f>IF($B$2="All",SUMIF(Orders!$H$2:$H$64,A14,Orders!$O$2:$O$64),SUMIFS(Orders!$O$2:$O$64,Orders!$H$2:$H$64,A14,Orders!$K$2:$K$64,$B$2))</f>
        <v>81500</v>
      </c>
      <c r="G14" t="s">
        <v>26</v>
      </c>
      <c r="H14" s="18">
        <f>SUMIF(Orders!$C$2:$C$64,G14,Orders!$O$2:$O$64)</f>
        <v>0</v>
      </c>
    </row>
    <row r="40" spans="1:1">
      <c r="A40" s="19" t="s">
        <v>27</v>
      </c>
    </row>
  </sheetData>
  <mergeCells count="11">
    <mergeCell ref="A1:H1"/>
    <mergeCell ref="B3:H3"/>
    <mergeCell ref="A5:B5"/>
    <mergeCell ref="C5:D5"/>
    <mergeCell ref="E5:F5"/>
    <mergeCell ref="G5:H5"/>
    <mergeCell ref="A6:B6"/>
    <mergeCell ref="C6:D6"/>
    <mergeCell ref="E6:F6"/>
    <mergeCell ref="G6:H6"/>
    <mergeCell ref="A40:H40"/>
  </mergeCells>
  <dataValidations count="1">
    <dataValidation type="list" sqref="B2">
      <formula1>"All,Apparel,Electronics,Home"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34" customWidth="1"/>
    <col min="2" max="2" width="12" customWidth="1"/>
    <col min="3" max="3" width="13" customWidth="1"/>
    <col min="4" max="4" width="12" customWidth="1"/>
    <col min="5" max="5" width="18" customWidth="1"/>
    <col min="6" max="6" width="12" customWidth="1"/>
    <col min="7" max="7" width="17" customWidth="1"/>
    <col min="8" max="8" width="12" customWidth="1"/>
    <col min="9" max="9" width="15" customWidth="1"/>
    <col min="10" max="10" width="19" customWidth="1"/>
    <col min="11" max="11" width="13" customWidth="1"/>
    <col min="12" max="13" width="12" customWidth="1"/>
    <col min="14" max="14" width="14" customWidth="1"/>
    <col min="15" max="17" width="12" customWidth="1"/>
    <col min="18" max="18" width="13" customWidth="1"/>
    <col min="19" max="21" width="12" customWidth="1"/>
  </cols>
  <sheetData>
    <row r="1" ht="32" customHeight="1" spans="1:21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</row>
    <row r="2" spans="1:21">
      <c r="A2" t="s">
        <v>49</v>
      </c>
      <c r="B2">
        <v>1004</v>
      </c>
      <c r="C2" t="s">
        <v>18</v>
      </c>
      <c r="D2" t="s">
        <v>50</v>
      </c>
      <c r="E2" t="s">
        <v>50</v>
      </c>
      <c r="F2" t="s">
        <v>51</v>
      </c>
      <c r="G2" t="s">
        <v>51</v>
      </c>
      <c r="H2" t="s">
        <v>16</v>
      </c>
      <c r="I2" t="s">
        <v>52</v>
      </c>
      <c r="J2" t="s">
        <v>53</v>
      </c>
      <c r="K2" t="s">
        <v>17</v>
      </c>
      <c r="L2">
        <v>7800</v>
      </c>
      <c r="M2">
        <v>2</v>
      </c>
      <c r="N2">
        <v>15600</v>
      </c>
      <c r="O2">
        <v>15600</v>
      </c>
      <c r="P2" t="s">
        <v>54</v>
      </c>
      <c r="Q2">
        <v>15600</v>
      </c>
      <c r="R2">
        <v>5495.238095</v>
      </c>
      <c r="S2">
        <v>63</v>
      </c>
      <c r="T2">
        <v>1100</v>
      </c>
      <c r="U2">
        <v>15600</v>
      </c>
    </row>
    <row r="3" spans="1:21">
      <c r="A3" t="s">
        <v>49</v>
      </c>
      <c r="B3">
        <v>1066</v>
      </c>
      <c r="C3" t="s">
        <v>24</v>
      </c>
      <c r="D3" t="s">
        <v>55</v>
      </c>
      <c r="E3" t="s">
        <v>56</v>
      </c>
      <c r="F3" t="s">
        <v>57</v>
      </c>
      <c r="G3" t="s">
        <v>58</v>
      </c>
      <c r="H3" t="s">
        <v>19</v>
      </c>
      <c r="I3" t="s">
        <v>59</v>
      </c>
      <c r="J3" t="s">
        <v>60</v>
      </c>
      <c r="K3" t="s">
        <v>20</v>
      </c>
      <c r="L3">
        <v>9650</v>
      </c>
      <c r="M3">
        <v>2</v>
      </c>
      <c r="N3">
        <v>19300</v>
      </c>
      <c r="O3">
        <v>19300</v>
      </c>
      <c r="P3" t="s">
        <v>54</v>
      </c>
      <c r="Q3">
        <v>15600</v>
      </c>
      <c r="R3">
        <v>5332.258065</v>
      </c>
      <c r="S3">
        <v>62</v>
      </c>
      <c r="T3">
        <v>1100</v>
      </c>
      <c r="U3">
        <v>15600</v>
      </c>
    </row>
    <row r="4" spans="1:21">
      <c r="A4" t="s">
        <v>49</v>
      </c>
      <c r="B4">
        <v>1070</v>
      </c>
      <c r="C4" t="s">
        <v>24</v>
      </c>
      <c r="D4" t="s">
        <v>61</v>
      </c>
      <c r="E4" t="s">
        <v>62</v>
      </c>
      <c r="F4" t="s">
        <v>63</v>
      </c>
      <c r="G4" t="s">
        <v>63</v>
      </c>
      <c r="H4" t="s">
        <v>22</v>
      </c>
      <c r="I4" t="s">
        <v>64</v>
      </c>
      <c r="J4" t="s">
        <v>65</v>
      </c>
      <c r="K4" t="s">
        <v>23</v>
      </c>
      <c r="L4">
        <v>8850</v>
      </c>
      <c r="M4">
        <v>2</v>
      </c>
      <c r="N4">
        <v>17700</v>
      </c>
      <c r="O4">
        <v>17700</v>
      </c>
      <c r="P4" t="s">
        <v>54</v>
      </c>
      <c r="Q4">
        <v>15600</v>
      </c>
      <c r="R4">
        <v>5163.934426</v>
      </c>
      <c r="S4">
        <v>61</v>
      </c>
      <c r="T4">
        <v>1100</v>
      </c>
      <c r="U4">
        <v>15600</v>
      </c>
    </row>
    <row r="5" spans="1:21">
      <c r="A5" t="s">
        <v>49</v>
      </c>
      <c r="B5">
        <v>1074</v>
      </c>
      <c r="C5" t="s">
        <v>24</v>
      </c>
      <c r="D5" t="s">
        <v>66</v>
      </c>
      <c r="E5" t="s">
        <v>66</v>
      </c>
      <c r="F5" t="s">
        <v>67</v>
      </c>
      <c r="G5" t="s">
        <v>67</v>
      </c>
      <c r="H5" t="s">
        <v>25</v>
      </c>
      <c r="I5" t="s">
        <v>68</v>
      </c>
      <c r="J5" t="s">
        <v>69</v>
      </c>
      <c r="K5" t="s">
        <v>17</v>
      </c>
      <c r="L5">
        <v>6950</v>
      </c>
      <c r="M5">
        <v>2</v>
      </c>
      <c r="N5">
        <v>13900</v>
      </c>
      <c r="O5">
        <v>13900</v>
      </c>
      <c r="P5" t="s">
        <v>54</v>
      </c>
      <c r="Q5">
        <v>15600</v>
      </c>
      <c r="R5">
        <v>4990</v>
      </c>
      <c r="S5">
        <v>60</v>
      </c>
      <c r="T5">
        <v>1100</v>
      </c>
      <c r="U5">
        <v>15600</v>
      </c>
    </row>
    <row r="6" spans="1:21">
      <c r="A6" t="s">
        <v>49</v>
      </c>
      <c r="B6">
        <v>1082</v>
      </c>
      <c r="C6" t="s">
        <v>24</v>
      </c>
      <c r="D6" t="s">
        <v>70</v>
      </c>
      <c r="E6" t="s">
        <v>71</v>
      </c>
      <c r="F6" t="s">
        <v>72</v>
      </c>
      <c r="G6" t="s">
        <v>73</v>
      </c>
      <c r="H6" t="s">
        <v>16</v>
      </c>
      <c r="I6" t="s">
        <v>52</v>
      </c>
      <c r="J6" t="s">
        <v>69</v>
      </c>
      <c r="K6" t="s">
        <v>17</v>
      </c>
      <c r="L6">
        <v>6750</v>
      </c>
      <c r="M6">
        <v>2</v>
      </c>
      <c r="N6">
        <v>13500</v>
      </c>
      <c r="O6">
        <v>13500</v>
      </c>
      <c r="P6" t="s">
        <v>54</v>
      </c>
      <c r="Q6">
        <v>13500</v>
      </c>
      <c r="R6">
        <v>4810.169492</v>
      </c>
      <c r="S6">
        <v>59</v>
      </c>
      <c r="T6">
        <v>1100</v>
      </c>
      <c r="U6">
        <v>13500</v>
      </c>
    </row>
    <row r="7" spans="1:21">
      <c r="A7" t="s">
        <v>49</v>
      </c>
      <c r="B7">
        <v>1011</v>
      </c>
      <c r="C7" t="s">
        <v>18</v>
      </c>
      <c r="D7" t="s">
        <v>74</v>
      </c>
      <c r="E7" t="s">
        <v>74</v>
      </c>
      <c r="F7" t="s">
        <v>75</v>
      </c>
      <c r="G7" t="s">
        <v>75</v>
      </c>
      <c r="H7" t="s">
        <v>25</v>
      </c>
      <c r="I7" t="s">
        <v>68</v>
      </c>
      <c r="J7" t="s">
        <v>76</v>
      </c>
      <c r="K7" t="s">
        <v>23</v>
      </c>
      <c r="L7">
        <v>6000</v>
      </c>
      <c r="M7">
        <v>2</v>
      </c>
      <c r="N7">
        <v>12000</v>
      </c>
      <c r="O7">
        <v>12000</v>
      </c>
      <c r="P7" t="s">
        <v>54</v>
      </c>
      <c r="Q7">
        <v>13500</v>
      </c>
      <c r="R7">
        <v>4660.344828</v>
      </c>
      <c r="S7">
        <v>58</v>
      </c>
      <c r="T7">
        <v>1100</v>
      </c>
      <c r="U7">
        <v>13500</v>
      </c>
    </row>
    <row r="8" spans="1:21">
      <c r="A8" t="s">
        <v>49</v>
      </c>
      <c r="B8">
        <v>1045</v>
      </c>
      <c r="C8" t="s">
        <v>21</v>
      </c>
      <c r="D8" t="s">
        <v>66</v>
      </c>
      <c r="E8" t="s">
        <v>66</v>
      </c>
      <c r="F8" t="s">
        <v>67</v>
      </c>
      <c r="G8" t="s">
        <v>67</v>
      </c>
      <c r="H8" t="s">
        <v>25</v>
      </c>
      <c r="I8" t="s">
        <v>68</v>
      </c>
      <c r="J8" t="s">
        <v>53</v>
      </c>
      <c r="K8" t="s">
        <v>17</v>
      </c>
      <c r="L8">
        <v>4650</v>
      </c>
      <c r="M8">
        <v>2</v>
      </c>
      <c r="N8">
        <v>9300</v>
      </c>
      <c r="O8">
        <v>9300</v>
      </c>
      <c r="P8" t="s">
        <v>54</v>
      </c>
      <c r="Q8">
        <v>10400</v>
      </c>
      <c r="R8">
        <v>4505.263158</v>
      </c>
      <c r="S8">
        <v>57</v>
      </c>
      <c r="T8">
        <v>1100</v>
      </c>
      <c r="U8">
        <v>10400</v>
      </c>
    </row>
    <row r="9" spans="1:21">
      <c r="A9" t="s">
        <v>49</v>
      </c>
      <c r="B9">
        <v>1026</v>
      </c>
      <c r="C9" t="s">
        <v>18</v>
      </c>
      <c r="D9" t="s">
        <v>77</v>
      </c>
      <c r="E9" t="s">
        <v>77</v>
      </c>
      <c r="F9" t="s">
        <v>78</v>
      </c>
      <c r="G9" t="s">
        <v>78</v>
      </c>
      <c r="H9" t="s">
        <v>19</v>
      </c>
      <c r="I9" t="s">
        <v>59</v>
      </c>
      <c r="J9" t="s">
        <v>53</v>
      </c>
      <c r="K9" t="s">
        <v>17</v>
      </c>
      <c r="L9">
        <v>6450</v>
      </c>
      <c r="M9">
        <v>2</v>
      </c>
      <c r="N9">
        <v>12900</v>
      </c>
      <c r="O9">
        <v>12900</v>
      </c>
      <c r="P9" t="s">
        <v>54</v>
      </c>
      <c r="Q9">
        <v>10400</v>
      </c>
      <c r="R9">
        <v>4400</v>
      </c>
      <c r="S9">
        <v>56</v>
      </c>
      <c r="T9">
        <v>1100</v>
      </c>
      <c r="U9">
        <v>10400</v>
      </c>
    </row>
    <row r="10" spans="1:21">
      <c r="A10" t="s">
        <v>49</v>
      </c>
      <c r="B10">
        <v>1027</v>
      </c>
      <c r="C10" t="s">
        <v>21</v>
      </c>
      <c r="D10" t="s">
        <v>79</v>
      </c>
      <c r="E10" t="s">
        <v>80</v>
      </c>
      <c r="F10" t="s">
        <v>81</v>
      </c>
      <c r="G10" t="s">
        <v>81</v>
      </c>
      <c r="H10" t="s">
        <v>19</v>
      </c>
      <c r="I10" t="s">
        <v>59</v>
      </c>
      <c r="J10" t="s">
        <v>82</v>
      </c>
      <c r="K10" t="s">
        <v>20</v>
      </c>
      <c r="L10">
        <v>6450</v>
      </c>
      <c r="M10">
        <v>2</v>
      </c>
      <c r="N10">
        <v>12900</v>
      </c>
      <c r="O10">
        <v>12900</v>
      </c>
      <c r="P10" t="s">
        <v>54</v>
      </c>
      <c r="Q10">
        <v>10400</v>
      </c>
      <c r="R10">
        <v>4290.909091</v>
      </c>
      <c r="S10">
        <v>55</v>
      </c>
      <c r="T10">
        <v>1100</v>
      </c>
      <c r="U10">
        <v>10400</v>
      </c>
    </row>
    <row r="11" spans="1:21">
      <c r="A11" t="s">
        <v>49</v>
      </c>
      <c r="B11">
        <v>1088</v>
      </c>
      <c r="C11" t="s">
        <v>24</v>
      </c>
      <c r="D11" t="s">
        <v>83</v>
      </c>
      <c r="E11" t="s">
        <v>83</v>
      </c>
      <c r="F11" t="s">
        <v>84</v>
      </c>
      <c r="G11" t="s">
        <v>84</v>
      </c>
      <c r="H11" t="s">
        <v>25</v>
      </c>
      <c r="I11" t="s">
        <v>68</v>
      </c>
      <c r="J11" t="s">
        <v>60</v>
      </c>
      <c r="K11" t="s">
        <v>20</v>
      </c>
      <c r="L11">
        <v>4250</v>
      </c>
      <c r="M11">
        <v>2</v>
      </c>
      <c r="N11">
        <v>8500</v>
      </c>
      <c r="O11">
        <v>8500</v>
      </c>
      <c r="P11" t="s">
        <v>54</v>
      </c>
      <c r="Q11">
        <v>9600</v>
      </c>
      <c r="R11">
        <v>4177.777778</v>
      </c>
      <c r="S11">
        <v>54</v>
      </c>
      <c r="T11">
        <v>1100</v>
      </c>
      <c r="U11">
        <v>9600</v>
      </c>
    </row>
    <row r="12" spans="1:21">
      <c r="A12" t="s">
        <v>49</v>
      </c>
      <c r="B12">
        <v>1059</v>
      </c>
      <c r="C12" t="s">
        <v>24</v>
      </c>
      <c r="D12" t="s">
        <v>85</v>
      </c>
      <c r="E12" t="s">
        <v>85</v>
      </c>
      <c r="F12" t="s">
        <v>86</v>
      </c>
      <c r="G12" t="s">
        <v>87</v>
      </c>
      <c r="H12" t="s">
        <v>22</v>
      </c>
      <c r="I12" t="s">
        <v>64</v>
      </c>
      <c r="J12" t="s">
        <v>88</v>
      </c>
      <c r="K12" t="s">
        <v>20</v>
      </c>
      <c r="L12">
        <v>5450</v>
      </c>
      <c r="M12">
        <v>2</v>
      </c>
      <c r="N12">
        <v>10900</v>
      </c>
      <c r="O12">
        <v>10900</v>
      </c>
      <c r="P12" t="s">
        <v>54</v>
      </c>
      <c r="Q12">
        <v>9600</v>
      </c>
      <c r="R12">
        <v>4075.471698</v>
      </c>
      <c r="S12">
        <v>53</v>
      </c>
      <c r="T12">
        <v>1100</v>
      </c>
      <c r="U12">
        <v>9600</v>
      </c>
    </row>
    <row r="13" spans="1:21">
      <c r="A13" t="s">
        <v>49</v>
      </c>
      <c r="B13" t="s">
        <v>89</v>
      </c>
      <c r="C13" t="s">
        <v>26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>
        <v>0</v>
      </c>
      <c r="M13">
        <v>2</v>
      </c>
      <c r="N13">
        <v>0</v>
      </c>
      <c r="O13">
        <v>0</v>
      </c>
      <c r="P13" t="s">
        <v>54</v>
      </c>
      <c r="Q13">
        <v>9000</v>
      </c>
      <c r="R13">
        <v>3969.230769</v>
      </c>
      <c r="S13">
        <v>52</v>
      </c>
      <c r="T13">
        <v>1100</v>
      </c>
      <c r="U13">
        <v>9000</v>
      </c>
    </row>
    <row r="14" spans="1:21">
      <c r="A14" t="s">
        <v>49</v>
      </c>
      <c r="B14">
        <v>1020</v>
      </c>
      <c r="C14" t="s">
        <v>18</v>
      </c>
      <c r="D14" t="s">
        <v>90</v>
      </c>
      <c r="E14" t="s">
        <v>90</v>
      </c>
      <c r="F14" t="s">
        <v>91</v>
      </c>
      <c r="G14" t="s">
        <v>91</v>
      </c>
      <c r="H14" t="s">
        <v>22</v>
      </c>
      <c r="I14" t="s">
        <v>64</v>
      </c>
      <c r="J14" t="s">
        <v>60</v>
      </c>
      <c r="K14" t="s">
        <v>20</v>
      </c>
      <c r="L14">
        <v>5100</v>
      </c>
      <c r="M14">
        <v>2</v>
      </c>
      <c r="N14">
        <v>10200</v>
      </c>
      <c r="O14">
        <v>10200</v>
      </c>
      <c r="P14" t="s">
        <v>54</v>
      </c>
      <c r="Q14">
        <v>9000</v>
      </c>
      <c r="R14">
        <v>3870.588235</v>
      </c>
      <c r="S14">
        <v>51</v>
      </c>
      <c r="T14">
        <v>1100</v>
      </c>
      <c r="U14">
        <v>9000</v>
      </c>
    </row>
    <row r="15" spans="1:21">
      <c r="A15" t="s">
        <v>49</v>
      </c>
      <c r="B15">
        <v>1054</v>
      </c>
      <c r="C15" t="s">
        <v>21</v>
      </c>
      <c r="D15" t="s">
        <v>92</v>
      </c>
      <c r="E15" t="s">
        <v>92</v>
      </c>
      <c r="F15" t="s">
        <v>93</v>
      </c>
      <c r="G15" t="s">
        <v>93</v>
      </c>
      <c r="H15" t="s">
        <v>19</v>
      </c>
      <c r="I15" t="s">
        <v>59</v>
      </c>
      <c r="J15" t="s">
        <v>60</v>
      </c>
      <c r="K15" t="s">
        <v>20</v>
      </c>
      <c r="L15">
        <v>4650</v>
      </c>
      <c r="M15">
        <v>2</v>
      </c>
      <c r="N15">
        <v>9300</v>
      </c>
      <c r="O15">
        <v>9300</v>
      </c>
      <c r="P15" t="s">
        <v>54</v>
      </c>
      <c r="Q15">
        <v>7500</v>
      </c>
      <c r="R15">
        <v>3768</v>
      </c>
      <c r="S15">
        <v>50</v>
      </c>
      <c r="T15">
        <v>1100</v>
      </c>
      <c r="U15">
        <v>7500</v>
      </c>
    </row>
    <row r="16" spans="1:21">
      <c r="A16" t="s">
        <v>49</v>
      </c>
      <c r="B16">
        <v>1021</v>
      </c>
      <c r="C16" t="s">
        <v>18</v>
      </c>
      <c r="D16" t="s">
        <v>92</v>
      </c>
      <c r="E16" t="s">
        <v>92</v>
      </c>
      <c r="F16" t="s">
        <v>93</v>
      </c>
      <c r="G16" t="s">
        <v>93</v>
      </c>
      <c r="H16" t="s">
        <v>19</v>
      </c>
      <c r="I16" t="s">
        <v>59</v>
      </c>
      <c r="J16" t="s">
        <v>76</v>
      </c>
      <c r="K16" t="s">
        <v>23</v>
      </c>
      <c r="L16">
        <v>4450</v>
      </c>
      <c r="M16">
        <v>2</v>
      </c>
      <c r="N16">
        <v>8900</v>
      </c>
      <c r="O16">
        <v>8900</v>
      </c>
      <c r="P16" t="s">
        <v>54</v>
      </c>
      <c r="Q16">
        <v>7200</v>
      </c>
      <c r="R16">
        <v>3691.836735</v>
      </c>
      <c r="S16">
        <v>49</v>
      </c>
      <c r="T16">
        <v>1100</v>
      </c>
      <c r="U16">
        <v>7200</v>
      </c>
    </row>
    <row r="17" spans="1:21">
      <c r="A17" t="s">
        <v>49</v>
      </c>
      <c r="B17">
        <v>1024</v>
      </c>
      <c r="C17" t="s">
        <v>18</v>
      </c>
      <c r="D17" t="s">
        <v>85</v>
      </c>
      <c r="E17" t="s">
        <v>85</v>
      </c>
      <c r="F17" t="s">
        <v>86</v>
      </c>
      <c r="G17" t="s">
        <v>87</v>
      </c>
      <c r="H17" t="s">
        <v>22</v>
      </c>
      <c r="I17" t="s">
        <v>64</v>
      </c>
      <c r="J17" t="s">
        <v>53</v>
      </c>
      <c r="K17" t="s">
        <v>17</v>
      </c>
      <c r="L17">
        <v>4050</v>
      </c>
      <c r="M17">
        <v>2</v>
      </c>
      <c r="N17">
        <v>8100</v>
      </c>
      <c r="O17">
        <v>8100</v>
      </c>
      <c r="P17" t="s">
        <v>54</v>
      </c>
      <c r="Q17">
        <v>7200</v>
      </c>
      <c r="R17">
        <v>3618.75</v>
      </c>
      <c r="S17">
        <v>48</v>
      </c>
      <c r="T17">
        <v>1100</v>
      </c>
      <c r="U17">
        <v>7200</v>
      </c>
    </row>
    <row r="18" spans="1:21">
      <c r="A18" t="s">
        <v>49</v>
      </c>
      <c r="B18">
        <v>1039</v>
      </c>
      <c r="C18" t="s">
        <v>21</v>
      </c>
      <c r="D18" t="s">
        <v>94</v>
      </c>
      <c r="E18" t="s">
        <v>95</v>
      </c>
      <c r="F18" t="s">
        <v>96</v>
      </c>
      <c r="G18" t="s">
        <v>97</v>
      </c>
      <c r="H18" t="s">
        <v>16</v>
      </c>
      <c r="I18" t="s">
        <v>52</v>
      </c>
      <c r="J18" t="s">
        <v>65</v>
      </c>
      <c r="K18" t="s">
        <v>23</v>
      </c>
      <c r="L18">
        <v>3600</v>
      </c>
      <c r="M18">
        <v>2</v>
      </c>
      <c r="N18">
        <v>7200</v>
      </c>
      <c r="O18">
        <v>7200</v>
      </c>
      <c r="P18" t="s">
        <v>54</v>
      </c>
      <c r="Q18">
        <v>7200</v>
      </c>
      <c r="R18">
        <v>3542.553191</v>
      </c>
      <c r="S18">
        <v>47</v>
      </c>
      <c r="T18">
        <v>1100</v>
      </c>
      <c r="U18">
        <v>7200</v>
      </c>
    </row>
    <row r="19" spans="1:21">
      <c r="A19" t="s">
        <v>49</v>
      </c>
      <c r="B19">
        <v>1079</v>
      </c>
      <c r="C19" t="s">
        <v>24</v>
      </c>
      <c r="D19" t="s">
        <v>83</v>
      </c>
      <c r="E19" t="s">
        <v>83</v>
      </c>
      <c r="F19" t="s">
        <v>84</v>
      </c>
      <c r="G19" t="s">
        <v>84</v>
      </c>
      <c r="H19" t="s">
        <v>25</v>
      </c>
      <c r="I19" t="s">
        <v>68</v>
      </c>
      <c r="J19" t="s">
        <v>53</v>
      </c>
      <c r="K19" t="s">
        <v>17</v>
      </c>
      <c r="L19">
        <v>3200</v>
      </c>
      <c r="M19">
        <v>2</v>
      </c>
      <c r="N19">
        <v>6400</v>
      </c>
      <c r="O19">
        <v>6400</v>
      </c>
      <c r="P19" t="s">
        <v>54</v>
      </c>
      <c r="Q19">
        <v>7200</v>
      </c>
      <c r="R19">
        <v>3463.043478</v>
      </c>
      <c r="S19">
        <v>46</v>
      </c>
      <c r="T19">
        <v>1100</v>
      </c>
      <c r="U19">
        <v>7200</v>
      </c>
    </row>
    <row r="20" spans="1:21">
      <c r="A20" t="s">
        <v>49</v>
      </c>
      <c r="B20" t="s">
        <v>89</v>
      </c>
      <c r="C20" t="s">
        <v>26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>
        <v>0</v>
      </c>
      <c r="M20">
        <v>2</v>
      </c>
      <c r="N20">
        <v>0</v>
      </c>
      <c r="O20">
        <v>0</v>
      </c>
      <c r="P20" t="s">
        <v>54</v>
      </c>
      <c r="Q20">
        <v>6400</v>
      </c>
      <c r="R20">
        <v>3380</v>
      </c>
      <c r="S20">
        <v>45</v>
      </c>
      <c r="T20">
        <v>1100</v>
      </c>
      <c r="U20">
        <v>6400</v>
      </c>
    </row>
    <row r="21" spans="1:21">
      <c r="A21" t="s">
        <v>49</v>
      </c>
      <c r="B21">
        <v>1013</v>
      </c>
      <c r="C21" t="s">
        <v>18</v>
      </c>
      <c r="D21" t="s">
        <v>98</v>
      </c>
      <c r="E21" t="s">
        <v>98</v>
      </c>
      <c r="F21" t="s">
        <v>99</v>
      </c>
      <c r="G21" t="s">
        <v>99</v>
      </c>
      <c r="H21" t="s">
        <v>16</v>
      </c>
      <c r="I21" t="s">
        <v>52</v>
      </c>
      <c r="J21" t="s">
        <v>82</v>
      </c>
      <c r="K21" t="s">
        <v>20</v>
      </c>
      <c r="L21">
        <v>3200</v>
      </c>
      <c r="M21">
        <v>2</v>
      </c>
      <c r="N21">
        <v>6400</v>
      </c>
      <c r="O21">
        <v>6400</v>
      </c>
      <c r="P21" t="s">
        <v>54</v>
      </c>
      <c r="Q21">
        <v>6400</v>
      </c>
      <c r="R21">
        <v>3311.363636</v>
      </c>
      <c r="S21">
        <v>44</v>
      </c>
      <c r="T21">
        <v>1100</v>
      </c>
      <c r="U21">
        <v>6400</v>
      </c>
    </row>
    <row r="22" spans="1:21">
      <c r="A22" t="s">
        <v>49</v>
      </c>
      <c r="B22">
        <v>1025</v>
      </c>
      <c r="C22" t="s">
        <v>18</v>
      </c>
      <c r="D22" t="s">
        <v>100</v>
      </c>
      <c r="E22" t="s">
        <v>100</v>
      </c>
      <c r="F22" t="s">
        <v>101</v>
      </c>
      <c r="G22" t="s">
        <v>101</v>
      </c>
      <c r="H22" t="s">
        <v>25</v>
      </c>
      <c r="I22" t="s">
        <v>68</v>
      </c>
      <c r="J22" t="s">
        <v>65</v>
      </c>
      <c r="K22" t="s">
        <v>23</v>
      </c>
      <c r="L22">
        <v>2850</v>
      </c>
      <c r="M22">
        <v>2</v>
      </c>
      <c r="N22">
        <v>5700</v>
      </c>
      <c r="O22">
        <v>5700</v>
      </c>
      <c r="P22" t="s">
        <v>54</v>
      </c>
      <c r="Q22">
        <v>6400</v>
      </c>
      <c r="R22">
        <v>3239.534884</v>
      </c>
      <c r="S22">
        <v>43</v>
      </c>
      <c r="T22">
        <v>1100</v>
      </c>
      <c r="U22">
        <v>6400</v>
      </c>
    </row>
    <row r="23" spans="1:21">
      <c r="A23" t="s">
        <v>49</v>
      </c>
      <c r="B23">
        <v>1067</v>
      </c>
      <c r="C23" t="s">
        <v>24</v>
      </c>
      <c r="D23" t="s">
        <v>85</v>
      </c>
      <c r="E23" t="s">
        <v>85</v>
      </c>
      <c r="F23" t="s">
        <v>86</v>
      </c>
      <c r="G23" t="s">
        <v>87</v>
      </c>
      <c r="H23" t="s">
        <v>22</v>
      </c>
      <c r="I23" t="s">
        <v>64</v>
      </c>
      <c r="J23" t="s">
        <v>76</v>
      </c>
      <c r="K23" t="s">
        <v>23</v>
      </c>
      <c r="L23">
        <v>3600</v>
      </c>
      <c r="M23">
        <v>2</v>
      </c>
      <c r="N23">
        <v>7200</v>
      </c>
      <c r="O23">
        <v>7200</v>
      </c>
      <c r="P23" t="s">
        <v>54</v>
      </c>
      <c r="Q23">
        <v>6400</v>
      </c>
      <c r="R23">
        <v>3164.285714</v>
      </c>
      <c r="S23">
        <v>42</v>
      </c>
      <c r="T23">
        <v>1100</v>
      </c>
      <c r="U23">
        <v>6400</v>
      </c>
    </row>
    <row r="24" spans="1:21">
      <c r="A24" t="s">
        <v>49</v>
      </c>
      <c r="B24">
        <v>1086</v>
      </c>
      <c r="C24" t="s">
        <v>24</v>
      </c>
      <c r="D24" t="s">
        <v>92</v>
      </c>
      <c r="E24" t="s">
        <v>92</v>
      </c>
      <c r="F24" t="s">
        <v>93</v>
      </c>
      <c r="G24" t="s">
        <v>93</v>
      </c>
      <c r="H24" t="s">
        <v>19</v>
      </c>
      <c r="I24" t="s">
        <v>59</v>
      </c>
      <c r="J24" t="s">
        <v>69</v>
      </c>
      <c r="K24" t="s">
        <v>17</v>
      </c>
      <c r="L24">
        <v>3450</v>
      </c>
      <c r="M24">
        <v>2</v>
      </c>
      <c r="N24">
        <v>6900</v>
      </c>
      <c r="O24">
        <v>6900</v>
      </c>
      <c r="P24" t="s">
        <v>54</v>
      </c>
      <c r="Q24">
        <v>5600</v>
      </c>
      <c r="R24">
        <v>3085.365854</v>
      </c>
      <c r="S24">
        <v>41</v>
      </c>
      <c r="T24">
        <v>1100</v>
      </c>
      <c r="U24">
        <v>5600</v>
      </c>
    </row>
    <row r="25" spans="1:21">
      <c r="A25" t="s">
        <v>49</v>
      </c>
      <c r="B25">
        <v>1064</v>
      </c>
      <c r="C25" t="s">
        <v>24</v>
      </c>
      <c r="D25" t="s">
        <v>74</v>
      </c>
      <c r="E25" t="s">
        <v>74</v>
      </c>
      <c r="F25" t="s">
        <v>75</v>
      </c>
      <c r="G25" t="s">
        <v>75</v>
      </c>
      <c r="H25" t="s">
        <v>25</v>
      </c>
      <c r="I25" t="s">
        <v>68</v>
      </c>
      <c r="J25" t="s">
        <v>88</v>
      </c>
      <c r="K25" t="s">
        <v>20</v>
      </c>
      <c r="L25">
        <v>2300</v>
      </c>
      <c r="M25">
        <v>2</v>
      </c>
      <c r="N25">
        <v>4600</v>
      </c>
      <c r="O25">
        <v>4600</v>
      </c>
      <c r="P25" t="s">
        <v>54</v>
      </c>
      <c r="Q25">
        <v>5200</v>
      </c>
      <c r="R25">
        <v>3022.5</v>
      </c>
      <c r="S25">
        <v>40</v>
      </c>
      <c r="T25">
        <v>1100</v>
      </c>
      <c r="U25">
        <v>5200</v>
      </c>
    </row>
    <row r="26" spans="1:21">
      <c r="A26" t="s">
        <v>49</v>
      </c>
      <c r="B26">
        <v>1058</v>
      </c>
      <c r="C26" t="s">
        <v>24</v>
      </c>
      <c r="D26" t="s">
        <v>55</v>
      </c>
      <c r="E26" t="s">
        <v>56</v>
      </c>
      <c r="F26" t="s">
        <v>57</v>
      </c>
      <c r="G26" t="s">
        <v>58</v>
      </c>
      <c r="H26" t="s">
        <v>19</v>
      </c>
      <c r="I26" t="s">
        <v>59</v>
      </c>
      <c r="J26" t="s">
        <v>102</v>
      </c>
      <c r="K26" t="s">
        <v>23</v>
      </c>
      <c r="L26">
        <v>3200</v>
      </c>
      <c r="M26">
        <v>2</v>
      </c>
      <c r="N26">
        <v>6400</v>
      </c>
      <c r="O26">
        <v>6400</v>
      </c>
      <c r="P26" t="s">
        <v>54</v>
      </c>
      <c r="Q26">
        <v>5200</v>
      </c>
      <c r="R26">
        <v>2966.666667</v>
      </c>
      <c r="S26">
        <v>39</v>
      </c>
      <c r="T26">
        <v>1100</v>
      </c>
      <c r="U26">
        <v>5200</v>
      </c>
    </row>
    <row r="27" spans="1:21">
      <c r="A27" t="s">
        <v>49</v>
      </c>
      <c r="B27">
        <v>1072</v>
      </c>
      <c r="C27" t="s">
        <v>24</v>
      </c>
      <c r="D27" t="s">
        <v>74</v>
      </c>
      <c r="E27" t="s">
        <v>74</v>
      </c>
      <c r="F27" t="s">
        <v>75</v>
      </c>
      <c r="G27" t="s">
        <v>75</v>
      </c>
      <c r="H27" t="s">
        <v>25</v>
      </c>
      <c r="I27" t="s">
        <v>68</v>
      </c>
      <c r="J27" t="s">
        <v>102</v>
      </c>
      <c r="K27" t="s">
        <v>23</v>
      </c>
      <c r="L27">
        <v>4400</v>
      </c>
      <c r="M27">
        <v>1</v>
      </c>
      <c r="N27">
        <v>4400</v>
      </c>
      <c r="O27">
        <v>4400</v>
      </c>
      <c r="P27" t="s">
        <v>54</v>
      </c>
      <c r="Q27">
        <v>5000</v>
      </c>
      <c r="R27">
        <v>2907.894737</v>
      </c>
      <c r="S27">
        <v>38</v>
      </c>
      <c r="T27">
        <v>1100</v>
      </c>
      <c r="U27">
        <v>5000</v>
      </c>
    </row>
    <row r="28" spans="1:21">
      <c r="A28" t="s">
        <v>49</v>
      </c>
      <c r="B28">
        <v>1034</v>
      </c>
      <c r="C28" t="s">
        <v>21</v>
      </c>
      <c r="D28" t="s">
        <v>100</v>
      </c>
      <c r="E28" t="s">
        <v>100</v>
      </c>
      <c r="F28" t="s">
        <v>101</v>
      </c>
      <c r="G28" t="s">
        <v>101</v>
      </c>
      <c r="H28" t="s">
        <v>25</v>
      </c>
      <c r="I28" t="s">
        <v>68</v>
      </c>
      <c r="J28" t="s">
        <v>69</v>
      </c>
      <c r="K28" t="s">
        <v>17</v>
      </c>
      <c r="L28">
        <v>2200</v>
      </c>
      <c r="M28">
        <v>2</v>
      </c>
      <c r="N28">
        <v>4400</v>
      </c>
      <c r="O28">
        <v>4400</v>
      </c>
      <c r="P28" t="s">
        <v>54</v>
      </c>
      <c r="Q28">
        <v>5000</v>
      </c>
      <c r="R28">
        <v>2851.351351</v>
      </c>
      <c r="S28">
        <v>37</v>
      </c>
      <c r="T28">
        <v>1100</v>
      </c>
      <c r="U28">
        <v>5000</v>
      </c>
    </row>
    <row r="29" spans="1:21">
      <c r="A29" t="s">
        <v>49</v>
      </c>
      <c r="B29">
        <v>1035</v>
      </c>
      <c r="C29" t="s">
        <v>21</v>
      </c>
      <c r="D29" t="s">
        <v>77</v>
      </c>
      <c r="E29" t="s">
        <v>77</v>
      </c>
      <c r="F29" t="s">
        <v>78</v>
      </c>
      <c r="G29" t="s">
        <v>78</v>
      </c>
      <c r="H29" t="s">
        <v>19</v>
      </c>
      <c r="I29" t="s">
        <v>59</v>
      </c>
      <c r="J29" t="s">
        <v>88</v>
      </c>
      <c r="K29" t="s">
        <v>20</v>
      </c>
      <c r="L29">
        <v>2800</v>
      </c>
      <c r="M29">
        <v>2</v>
      </c>
      <c r="N29">
        <v>5600</v>
      </c>
      <c r="O29">
        <v>5600</v>
      </c>
      <c r="P29" t="s">
        <v>54</v>
      </c>
      <c r="Q29">
        <v>4500</v>
      </c>
      <c r="R29">
        <v>2791.666667</v>
      </c>
      <c r="S29">
        <v>36</v>
      </c>
      <c r="T29">
        <v>1100</v>
      </c>
      <c r="U29">
        <v>4500</v>
      </c>
    </row>
    <row r="30" spans="1:21">
      <c r="A30" t="s">
        <v>49</v>
      </c>
      <c r="B30">
        <v>1019</v>
      </c>
      <c r="C30" t="s">
        <v>18</v>
      </c>
      <c r="D30" t="s">
        <v>77</v>
      </c>
      <c r="E30" t="s">
        <v>77</v>
      </c>
      <c r="F30" t="s">
        <v>78</v>
      </c>
      <c r="G30" t="s">
        <v>78</v>
      </c>
      <c r="H30" t="s">
        <v>19</v>
      </c>
      <c r="I30" t="s">
        <v>59</v>
      </c>
      <c r="J30" t="s">
        <v>69</v>
      </c>
      <c r="K30" t="s">
        <v>17</v>
      </c>
      <c r="L30">
        <v>2800</v>
      </c>
      <c r="M30">
        <v>2</v>
      </c>
      <c r="N30">
        <v>5600</v>
      </c>
      <c r="O30">
        <v>5600</v>
      </c>
      <c r="P30" t="s">
        <v>54</v>
      </c>
      <c r="Q30">
        <v>4500</v>
      </c>
      <c r="R30">
        <v>2742.857143</v>
      </c>
      <c r="S30">
        <v>35</v>
      </c>
      <c r="T30">
        <v>1100</v>
      </c>
      <c r="U30">
        <v>4500</v>
      </c>
    </row>
    <row r="31" spans="1:21">
      <c r="A31" t="s">
        <v>49</v>
      </c>
      <c r="B31">
        <v>1032</v>
      </c>
      <c r="C31" t="s">
        <v>21</v>
      </c>
      <c r="D31" t="s">
        <v>70</v>
      </c>
      <c r="E31" t="s">
        <v>71</v>
      </c>
      <c r="F31" t="s">
        <v>72</v>
      </c>
      <c r="G31" t="s">
        <v>73</v>
      </c>
      <c r="H31" t="s">
        <v>16</v>
      </c>
      <c r="I31" t="s">
        <v>52</v>
      </c>
      <c r="J31" t="s">
        <v>65</v>
      </c>
      <c r="K31" t="s">
        <v>23</v>
      </c>
      <c r="L31">
        <v>2250</v>
      </c>
      <c r="M31">
        <v>2</v>
      </c>
      <c r="N31">
        <v>4500</v>
      </c>
      <c r="O31">
        <v>4500</v>
      </c>
      <c r="P31" t="s">
        <v>54</v>
      </c>
      <c r="Q31">
        <v>4500</v>
      </c>
      <c r="R31">
        <v>2691.176471</v>
      </c>
      <c r="S31">
        <v>34</v>
      </c>
      <c r="T31">
        <v>1100</v>
      </c>
      <c r="U31">
        <v>4500</v>
      </c>
    </row>
    <row r="32" spans="1:21">
      <c r="A32" t="s">
        <v>49</v>
      </c>
      <c r="B32">
        <v>1060</v>
      </c>
      <c r="C32" t="s">
        <v>24</v>
      </c>
      <c r="D32" t="s">
        <v>55</v>
      </c>
      <c r="E32" t="s">
        <v>56</v>
      </c>
      <c r="F32" t="s">
        <v>57</v>
      </c>
      <c r="G32" t="s">
        <v>58</v>
      </c>
      <c r="H32" t="s">
        <v>19</v>
      </c>
      <c r="I32" t="s">
        <v>59</v>
      </c>
      <c r="J32" t="s">
        <v>60</v>
      </c>
      <c r="K32" t="s">
        <v>20</v>
      </c>
      <c r="L32">
        <v>2800</v>
      </c>
      <c r="M32">
        <v>2</v>
      </c>
      <c r="N32">
        <v>5600</v>
      </c>
      <c r="O32">
        <v>5600</v>
      </c>
      <c r="P32" t="s">
        <v>54</v>
      </c>
      <c r="Q32">
        <v>4500</v>
      </c>
      <c r="R32">
        <v>2636.363636</v>
      </c>
      <c r="S32">
        <v>33</v>
      </c>
      <c r="T32">
        <v>1100</v>
      </c>
      <c r="U32">
        <v>4500</v>
      </c>
    </row>
    <row r="33" spans="1:21">
      <c r="A33" t="s">
        <v>49</v>
      </c>
      <c r="B33">
        <v>1078</v>
      </c>
      <c r="C33" t="s">
        <v>24</v>
      </c>
      <c r="D33" t="s">
        <v>94</v>
      </c>
      <c r="E33" t="s">
        <v>95</v>
      </c>
      <c r="F33" t="s">
        <v>96</v>
      </c>
      <c r="G33" t="s">
        <v>97</v>
      </c>
      <c r="H33" t="s">
        <v>16</v>
      </c>
      <c r="I33" t="s">
        <v>52</v>
      </c>
      <c r="J33" t="s">
        <v>53</v>
      </c>
      <c r="K33" t="s">
        <v>17</v>
      </c>
      <c r="L33">
        <v>4500</v>
      </c>
      <c r="M33">
        <v>1</v>
      </c>
      <c r="N33">
        <v>4500</v>
      </c>
      <c r="O33">
        <v>4500</v>
      </c>
      <c r="P33" t="s">
        <v>54</v>
      </c>
      <c r="Q33">
        <v>4500</v>
      </c>
      <c r="R33">
        <v>2578.125</v>
      </c>
      <c r="S33">
        <v>32</v>
      </c>
      <c r="T33">
        <v>1100</v>
      </c>
      <c r="U33">
        <v>4500</v>
      </c>
    </row>
    <row r="34" spans="1:21">
      <c r="A34" t="s">
        <v>49</v>
      </c>
      <c r="B34" t="s">
        <v>89</v>
      </c>
      <c r="C34" t="s">
        <v>26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>
        <v>0</v>
      </c>
      <c r="M34">
        <v>1</v>
      </c>
      <c r="N34">
        <v>0</v>
      </c>
      <c r="O34">
        <v>0</v>
      </c>
      <c r="P34" t="s">
        <v>54</v>
      </c>
      <c r="Q34">
        <v>4200</v>
      </c>
      <c r="R34">
        <v>2516.129032</v>
      </c>
      <c r="S34">
        <v>31</v>
      </c>
      <c r="T34">
        <v>1100</v>
      </c>
      <c r="U34">
        <v>4200</v>
      </c>
    </row>
    <row r="35" spans="1:21">
      <c r="A35" t="s">
        <v>49</v>
      </c>
      <c r="B35">
        <v>1050</v>
      </c>
      <c r="C35" t="s">
        <v>21</v>
      </c>
      <c r="D35" t="s">
        <v>103</v>
      </c>
      <c r="E35" t="s">
        <v>103</v>
      </c>
      <c r="F35" t="s">
        <v>104</v>
      </c>
      <c r="G35" t="s">
        <v>104</v>
      </c>
      <c r="H35" t="s">
        <v>25</v>
      </c>
      <c r="I35" t="s">
        <v>68</v>
      </c>
      <c r="J35" t="s">
        <v>69</v>
      </c>
      <c r="K35" t="s">
        <v>17</v>
      </c>
      <c r="L35">
        <v>3400</v>
      </c>
      <c r="M35">
        <v>1</v>
      </c>
      <c r="N35">
        <v>3400</v>
      </c>
      <c r="O35">
        <v>3400</v>
      </c>
      <c r="P35" t="s">
        <v>54</v>
      </c>
      <c r="Q35">
        <v>3800</v>
      </c>
      <c r="R35">
        <v>2460</v>
      </c>
      <c r="S35">
        <v>30</v>
      </c>
      <c r="T35">
        <v>1100</v>
      </c>
      <c r="U35">
        <v>3800</v>
      </c>
    </row>
    <row r="36" spans="1:21">
      <c r="A36" t="s">
        <v>49</v>
      </c>
      <c r="B36">
        <v>1023</v>
      </c>
      <c r="C36" t="s">
        <v>18</v>
      </c>
      <c r="D36" t="s">
        <v>92</v>
      </c>
      <c r="E36" t="s">
        <v>92</v>
      </c>
      <c r="F36" t="s">
        <v>93</v>
      </c>
      <c r="G36" t="s">
        <v>93</v>
      </c>
      <c r="H36" t="s">
        <v>19</v>
      </c>
      <c r="I36" t="s">
        <v>59</v>
      </c>
      <c r="J36" t="s">
        <v>69</v>
      </c>
      <c r="K36" t="s">
        <v>17</v>
      </c>
      <c r="L36">
        <v>4500</v>
      </c>
      <c r="M36">
        <v>1</v>
      </c>
      <c r="N36">
        <v>4500</v>
      </c>
      <c r="O36">
        <v>4500</v>
      </c>
      <c r="P36" t="s">
        <v>54</v>
      </c>
      <c r="Q36">
        <v>3600</v>
      </c>
      <c r="R36">
        <v>2413.793103</v>
      </c>
      <c r="S36">
        <v>29</v>
      </c>
      <c r="T36">
        <v>1100</v>
      </c>
      <c r="U36">
        <v>3600</v>
      </c>
    </row>
    <row r="37" spans="1:21">
      <c r="A37" t="s">
        <v>49</v>
      </c>
      <c r="B37">
        <v>1017</v>
      </c>
      <c r="C37" t="s">
        <v>18</v>
      </c>
      <c r="D37" t="s">
        <v>77</v>
      </c>
      <c r="E37" t="s">
        <v>77</v>
      </c>
      <c r="F37" t="s">
        <v>78</v>
      </c>
      <c r="G37" t="s">
        <v>78</v>
      </c>
      <c r="H37" t="s">
        <v>19</v>
      </c>
      <c r="I37" t="s">
        <v>59</v>
      </c>
      <c r="J37" t="s">
        <v>60</v>
      </c>
      <c r="K37" t="s">
        <v>20</v>
      </c>
      <c r="L37">
        <v>4500</v>
      </c>
      <c r="M37">
        <v>1</v>
      </c>
      <c r="N37">
        <v>4500</v>
      </c>
      <c r="O37">
        <v>4500</v>
      </c>
      <c r="P37" t="s">
        <v>54</v>
      </c>
      <c r="Q37">
        <v>3600</v>
      </c>
      <c r="R37">
        <v>2371.428571</v>
      </c>
      <c r="S37">
        <v>28</v>
      </c>
      <c r="T37">
        <v>1100</v>
      </c>
      <c r="U37">
        <v>3600</v>
      </c>
    </row>
    <row r="38" spans="1:21">
      <c r="A38" t="s">
        <v>49</v>
      </c>
      <c r="B38">
        <v>1028</v>
      </c>
      <c r="C38" t="s">
        <v>21</v>
      </c>
      <c r="D38" t="s">
        <v>105</v>
      </c>
      <c r="E38" t="s">
        <v>105</v>
      </c>
      <c r="F38" t="s">
        <v>106</v>
      </c>
      <c r="G38" t="s">
        <v>106</v>
      </c>
      <c r="H38" t="s">
        <v>22</v>
      </c>
      <c r="I38" t="s">
        <v>64</v>
      </c>
      <c r="J38" t="s">
        <v>60</v>
      </c>
      <c r="K38" t="s">
        <v>20</v>
      </c>
      <c r="L38">
        <v>4100</v>
      </c>
      <c r="M38">
        <v>1</v>
      </c>
      <c r="N38">
        <v>4100</v>
      </c>
      <c r="O38">
        <v>4100</v>
      </c>
      <c r="P38" t="s">
        <v>54</v>
      </c>
      <c r="Q38">
        <v>3600</v>
      </c>
      <c r="R38">
        <v>2325.925926</v>
      </c>
      <c r="S38">
        <v>27</v>
      </c>
      <c r="T38">
        <v>1100</v>
      </c>
      <c r="U38">
        <v>3600</v>
      </c>
    </row>
    <row r="39" spans="1:21">
      <c r="A39" t="s">
        <v>49</v>
      </c>
      <c r="B39">
        <v>1055</v>
      </c>
      <c r="C39" t="s">
        <v>21</v>
      </c>
      <c r="D39" t="s">
        <v>105</v>
      </c>
      <c r="E39" t="s">
        <v>105</v>
      </c>
      <c r="F39" t="s">
        <v>106</v>
      </c>
      <c r="G39" t="s">
        <v>106</v>
      </c>
      <c r="H39" t="s">
        <v>22</v>
      </c>
      <c r="I39" t="s">
        <v>64</v>
      </c>
      <c r="J39" t="s">
        <v>82</v>
      </c>
      <c r="K39" t="s">
        <v>20</v>
      </c>
      <c r="L39">
        <v>4100</v>
      </c>
      <c r="M39">
        <v>1</v>
      </c>
      <c r="N39">
        <v>4100</v>
      </c>
      <c r="O39">
        <v>4100</v>
      </c>
      <c r="P39" t="s">
        <v>54</v>
      </c>
      <c r="Q39">
        <v>3600</v>
      </c>
      <c r="R39">
        <v>2276.923077</v>
      </c>
      <c r="S39">
        <v>26</v>
      </c>
      <c r="T39">
        <v>1100</v>
      </c>
      <c r="U39">
        <v>3600</v>
      </c>
    </row>
    <row r="40" spans="1:21">
      <c r="A40" t="s">
        <v>49</v>
      </c>
      <c r="B40">
        <v>1089</v>
      </c>
      <c r="C40" t="s">
        <v>24</v>
      </c>
      <c r="D40" t="s">
        <v>61</v>
      </c>
      <c r="E40" t="s">
        <v>62</v>
      </c>
      <c r="F40" t="s">
        <v>63</v>
      </c>
      <c r="G40" t="s">
        <v>63</v>
      </c>
      <c r="H40" t="s">
        <v>22</v>
      </c>
      <c r="I40" t="s">
        <v>64</v>
      </c>
      <c r="J40" t="s">
        <v>65</v>
      </c>
      <c r="K40" t="s">
        <v>23</v>
      </c>
      <c r="L40">
        <v>3600</v>
      </c>
      <c r="M40">
        <v>1</v>
      </c>
      <c r="N40">
        <v>3600</v>
      </c>
      <c r="O40">
        <v>3600</v>
      </c>
      <c r="P40" t="s">
        <v>54</v>
      </c>
      <c r="Q40">
        <v>3200</v>
      </c>
      <c r="R40">
        <v>2224</v>
      </c>
      <c r="S40">
        <v>25</v>
      </c>
      <c r="T40">
        <v>1100</v>
      </c>
      <c r="U40">
        <v>3200</v>
      </c>
    </row>
    <row r="41" spans="1:21">
      <c r="A41" t="s">
        <v>49</v>
      </c>
      <c r="B41">
        <v>1022</v>
      </c>
      <c r="C41" t="s">
        <v>18</v>
      </c>
      <c r="D41" t="s">
        <v>77</v>
      </c>
      <c r="E41" t="s">
        <v>77</v>
      </c>
      <c r="F41" t="s">
        <v>78</v>
      </c>
      <c r="G41" t="s">
        <v>78</v>
      </c>
      <c r="H41" t="s">
        <v>19</v>
      </c>
      <c r="I41" t="s">
        <v>59</v>
      </c>
      <c r="J41" t="s">
        <v>76</v>
      </c>
      <c r="K41" t="s">
        <v>23</v>
      </c>
      <c r="L41">
        <v>2000</v>
      </c>
      <c r="M41">
        <v>2</v>
      </c>
      <c r="N41">
        <v>4000</v>
      </c>
      <c r="O41">
        <v>4000</v>
      </c>
      <c r="P41" t="s">
        <v>54</v>
      </c>
      <c r="Q41">
        <v>3200</v>
      </c>
      <c r="R41">
        <v>2183.333333</v>
      </c>
      <c r="S41">
        <v>24</v>
      </c>
      <c r="T41">
        <v>1100</v>
      </c>
      <c r="U41">
        <v>3200</v>
      </c>
    </row>
    <row r="42" spans="1:21">
      <c r="A42" t="s">
        <v>49</v>
      </c>
      <c r="B42">
        <v>1033</v>
      </c>
      <c r="C42" t="s">
        <v>21</v>
      </c>
      <c r="D42" t="s">
        <v>105</v>
      </c>
      <c r="E42" t="s">
        <v>105</v>
      </c>
      <c r="F42" t="s">
        <v>106</v>
      </c>
      <c r="G42" t="s">
        <v>106</v>
      </c>
      <c r="H42" t="s">
        <v>22</v>
      </c>
      <c r="I42" t="s">
        <v>64</v>
      </c>
      <c r="J42" t="s">
        <v>107</v>
      </c>
      <c r="K42" t="s">
        <v>17</v>
      </c>
      <c r="L42">
        <v>3600</v>
      </c>
      <c r="M42">
        <v>1</v>
      </c>
      <c r="N42">
        <v>3600</v>
      </c>
      <c r="O42">
        <v>3600</v>
      </c>
      <c r="P42" t="s">
        <v>54</v>
      </c>
      <c r="Q42">
        <v>3200</v>
      </c>
      <c r="R42">
        <v>2139.130435</v>
      </c>
      <c r="S42">
        <v>23</v>
      </c>
      <c r="T42">
        <v>1100</v>
      </c>
      <c r="U42">
        <v>3200</v>
      </c>
    </row>
    <row r="43" spans="1:21">
      <c r="A43" t="s">
        <v>49</v>
      </c>
      <c r="B43">
        <v>1071</v>
      </c>
      <c r="C43" t="s">
        <v>24</v>
      </c>
      <c r="D43" t="s">
        <v>90</v>
      </c>
      <c r="E43" t="s">
        <v>90</v>
      </c>
      <c r="F43" t="s">
        <v>91</v>
      </c>
      <c r="G43" t="s">
        <v>91</v>
      </c>
      <c r="H43" t="s">
        <v>22</v>
      </c>
      <c r="I43" t="s">
        <v>64</v>
      </c>
      <c r="J43" t="s">
        <v>76</v>
      </c>
      <c r="K43" t="s">
        <v>23</v>
      </c>
      <c r="L43">
        <v>3600</v>
      </c>
      <c r="M43">
        <v>1</v>
      </c>
      <c r="N43">
        <v>3600</v>
      </c>
      <c r="O43">
        <v>3600</v>
      </c>
      <c r="P43" t="s">
        <v>54</v>
      </c>
      <c r="Q43">
        <v>3200</v>
      </c>
      <c r="R43">
        <v>2090.909091</v>
      </c>
      <c r="S43">
        <v>22</v>
      </c>
      <c r="T43">
        <v>1100</v>
      </c>
      <c r="U43">
        <v>3200</v>
      </c>
    </row>
    <row r="44" spans="1:21">
      <c r="A44" t="s">
        <v>49</v>
      </c>
      <c r="B44">
        <v>1090</v>
      </c>
      <c r="C44" t="s">
        <v>24</v>
      </c>
      <c r="D44" t="s">
        <v>70</v>
      </c>
      <c r="E44" t="s">
        <v>71</v>
      </c>
      <c r="F44" t="s">
        <v>72</v>
      </c>
      <c r="G44" t="s">
        <v>73</v>
      </c>
      <c r="H44" t="s">
        <v>16</v>
      </c>
      <c r="I44" t="s">
        <v>52</v>
      </c>
      <c r="J44" t="s">
        <v>60</v>
      </c>
      <c r="K44" t="s">
        <v>20</v>
      </c>
      <c r="L44">
        <v>1600</v>
      </c>
      <c r="M44">
        <v>2</v>
      </c>
      <c r="N44">
        <v>3200</v>
      </c>
      <c r="O44">
        <v>3200</v>
      </c>
      <c r="P44" t="s">
        <v>54</v>
      </c>
      <c r="Q44">
        <v>3200</v>
      </c>
      <c r="R44">
        <v>2038.095238</v>
      </c>
      <c r="S44">
        <v>21</v>
      </c>
      <c r="T44">
        <v>1100</v>
      </c>
      <c r="U44">
        <v>3200</v>
      </c>
    </row>
    <row r="45" spans="1:21">
      <c r="A45" t="s">
        <v>49</v>
      </c>
      <c r="B45" t="s">
        <v>89</v>
      </c>
      <c r="C45" t="s">
        <v>26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>
        <v>0</v>
      </c>
      <c r="M45">
        <v>1</v>
      </c>
      <c r="N45">
        <v>0</v>
      </c>
      <c r="O45">
        <v>0</v>
      </c>
      <c r="P45" t="s">
        <v>54</v>
      </c>
      <c r="Q45">
        <v>2800</v>
      </c>
      <c r="R45">
        <v>1980</v>
      </c>
      <c r="S45">
        <v>20</v>
      </c>
      <c r="T45">
        <v>1100</v>
      </c>
      <c r="U45">
        <v>2800</v>
      </c>
    </row>
    <row r="46" spans="1:21">
      <c r="A46" t="s">
        <v>49</v>
      </c>
      <c r="B46">
        <v>1043</v>
      </c>
      <c r="C46" t="s">
        <v>21</v>
      </c>
      <c r="D46" t="s">
        <v>108</v>
      </c>
      <c r="E46" t="s">
        <v>108</v>
      </c>
      <c r="F46" t="s">
        <v>109</v>
      </c>
      <c r="G46" t="s">
        <v>109</v>
      </c>
      <c r="H46" t="s">
        <v>19</v>
      </c>
      <c r="I46" t="s">
        <v>59</v>
      </c>
      <c r="J46" t="s">
        <v>88</v>
      </c>
      <c r="K46" t="s">
        <v>20</v>
      </c>
      <c r="L46">
        <v>3500</v>
      </c>
      <c r="M46">
        <v>1</v>
      </c>
      <c r="N46">
        <v>3500</v>
      </c>
      <c r="O46">
        <v>3500</v>
      </c>
      <c r="P46" t="s">
        <v>54</v>
      </c>
      <c r="Q46">
        <v>2800</v>
      </c>
      <c r="R46">
        <v>1936.842105</v>
      </c>
      <c r="S46">
        <v>19</v>
      </c>
      <c r="T46">
        <v>1100</v>
      </c>
      <c r="U46">
        <v>2800</v>
      </c>
    </row>
    <row r="47" spans="1:21">
      <c r="A47" t="s">
        <v>49</v>
      </c>
      <c r="B47">
        <v>1046</v>
      </c>
      <c r="C47" t="s">
        <v>21</v>
      </c>
      <c r="D47" t="s">
        <v>77</v>
      </c>
      <c r="E47" t="s">
        <v>77</v>
      </c>
      <c r="F47" t="s">
        <v>78</v>
      </c>
      <c r="G47" t="s">
        <v>78</v>
      </c>
      <c r="H47" t="s">
        <v>19</v>
      </c>
      <c r="I47" t="s">
        <v>59</v>
      </c>
      <c r="J47" t="s">
        <v>102</v>
      </c>
      <c r="K47" t="s">
        <v>23</v>
      </c>
      <c r="L47">
        <v>1750</v>
      </c>
      <c r="M47">
        <v>2</v>
      </c>
      <c r="N47">
        <v>3500</v>
      </c>
      <c r="O47">
        <v>3500</v>
      </c>
      <c r="P47" t="s">
        <v>54</v>
      </c>
      <c r="Q47">
        <v>2800</v>
      </c>
      <c r="R47">
        <v>1888.888889</v>
      </c>
      <c r="S47">
        <v>18</v>
      </c>
      <c r="T47">
        <v>1100</v>
      </c>
      <c r="U47">
        <v>2800</v>
      </c>
    </row>
    <row r="48" spans="1:21">
      <c r="A48" t="s">
        <v>49</v>
      </c>
      <c r="B48">
        <v>1048</v>
      </c>
      <c r="C48" t="s">
        <v>21</v>
      </c>
      <c r="D48" t="s">
        <v>85</v>
      </c>
      <c r="E48" t="s">
        <v>85</v>
      </c>
      <c r="F48" t="s">
        <v>86</v>
      </c>
      <c r="G48" t="s">
        <v>87</v>
      </c>
      <c r="H48" t="s">
        <v>22</v>
      </c>
      <c r="I48" t="s">
        <v>64</v>
      </c>
      <c r="J48" t="s">
        <v>65</v>
      </c>
      <c r="K48" t="s">
        <v>23</v>
      </c>
      <c r="L48">
        <v>1600</v>
      </c>
      <c r="M48">
        <v>2</v>
      </c>
      <c r="N48">
        <v>3200</v>
      </c>
      <c r="O48">
        <v>3200</v>
      </c>
      <c r="P48" t="s">
        <v>54</v>
      </c>
      <c r="Q48">
        <v>2800</v>
      </c>
      <c r="R48">
        <v>1835.294118</v>
      </c>
      <c r="S48">
        <v>17</v>
      </c>
      <c r="T48">
        <v>1100</v>
      </c>
      <c r="U48">
        <v>2800</v>
      </c>
    </row>
    <row r="49" spans="1:21">
      <c r="A49" t="s">
        <v>49</v>
      </c>
      <c r="B49">
        <v>1056</v>
      </c>
      <c r="C49" t="s">
        <v>21</v>
      </c>
      <c r="D49" t="s">
        <v>103</v>
      </c>
      <c r="E49" t="s">
        <v>103</v>
      </c>
      <c r="F49" t="s">
        <v>104</v>
      </c>
      <c r="G49" t="s">
        <v>104</v>
      </c>
      <c r="H49" t="s">
        <v>25</v>
      </c>
      <c r="I49" t="s">
        <v>68</v>
      </c>
      <c r="J49" t="s">
        <v>60</v>
      </c>
      <c r="K49" t="s">
        <v>20</v>
      </c>
      <c r="L49">
        <v>1250</v>
      </c>
      <c r="M49">
        <v>2</v>
      </c>
      <c r="N49">
        <v>2500</v>
      </c>
      <c r="O49">
        <v>2500</v>
      </c>
      <c r="P49" t="s">
        <v>54</v>
      </c>
      <c r="Q49">
        <v>2800</v>
      </c>
      <c r="R49">
        <v>1775</v>
      </c>
      <c r="S49">
        <v>16</v>
      </c>
      <c r="T49">
        <v>1100</v>
      </c>
      <c r="U49">
        <v>2800</v>
      </c>
    </row>
    <row r="50" spans="1:21">
      <c r="A50" t="s">
        <v>49</v>
      </c>
      <c r="B50">
        <v>1081</v>
      </c>
      <c r="C50" t="s">
        <v>24</v>
      </c>
      <c r="D50" t="s">
        <v>77</v>
      </c>
      <c r="E50" t="s">
        <v>77</v>
      </c>
      <c r="F50" t="s">
        <v>78</v>
      </c>
      <c r="G50" t="s">
        <v>78</v>
      </c>
      <c r="H50" t="s">
        <v>19</v>
      </c>
      <c r="I50" t="s">
        <v>59</v>
      </c>
      <c r="J50" t="s">
        <v>60</v>
      </c>
      <c r="K50" t="s">
        <v>20</v>
      </c>
      <c r="L50">
        <v>1750</v>
      </c>
      <c r="M50">
        <v>2</v>
      </c>
      <c r="N50">
        <v>3500</v>
      </c>
      <c r="O50">
        <v>3500</v>
      </c>
      <c r="P50" t="s">
        <v>54</v>
      </c>
      <c r="Q50">
        <v>2800</v>
      </c>
      <c r="R50">
        <v>1706.666667</v>
      </c>
      <c r="S50">
        <v>15</v>
      </c>
      <c r="T50">
        <v>1100</v>
      </c>
      <c r="U50">
        <v>2800</v>
      </c>
    </row>
    <row r="51" spans="1:21">
      <c r="A51" t="s">
        <v>49</v>
      </c>
      <c r="B51">
        <v>1085</v>
      </c>
      <c r="C51" t="s">
        <v>24</v>
      </c>
      <c r="D51" t="s">
        <v>79</v>
      </c>
      <c r="E51" t="s">
        <v>80</v>
      </c>
      <c r="F51" t="s">
        <v>81</v>
      </c>
      <c r="G51" t="s">
        <v>81</v>
      </c>
      <c r="H51" t="s">
        <v>19</v>
      </c>
      <c r="I51" t="s">
        <v>59</v>
      </c>
      <c r="J51" t="s">
        <v>60</v>
      </c>
      <c r="K51" t="s">
        <v>20</v>
      </c>
      <c r="L51">
        <v>2400</v>
      </c>
      <c r="M51">
        <v>1</v>
      </c>
      <c r="N51">
        <v>2400</v>
      </c>
      <c r="O51">
        <v>2400</v>
      </c>
      <c r="P51" t="s">
        <v>54</v>
      </c>
      <c r="Q51">
        <v>2200</v>
      </c>
      <c r="R51">
        <v>1628.571429</v>
      </c>
      <c r="S51">
        <v>14</v>
      </c>
      <c r="T51">
        <v>1100</v>
      </c>
      <c r="U51">
        <v>2200</v>
      </c>
    </row>
    <row r="52" spans="1:21">
      <c r="A52" t="s">
        <v>49</v>
      </c>
      <c r="B52">
        <v>1037</v>
      </c>
      <c r="C52" t="s">
        <v>21</v>
      </c>
      <c r="D52" t="s">
        <v>94</v>
      </c>
      <c r="E52" t="s">
        <v>95</v>
      </c>
      <c r="F52" t="s">
        <v>96</v>
      </c>
      <c r="G52" t="s">
        <v>97</v>
      </c>
      <c r="H52" t="s">
        <v>16</v>
      </c>
      <c r="I52" t="s">
        <v>52</v>
      </c>
      <c r="J52" t="s">
        <v>102</v>
      </c>
      <c r="K52" t="s">
        <v>23</v>
      </c>
      <c r="L52">
        <v>1100</v>
      </c>
      <c r="M52">
        <v>2</v>
      </c>
      <c r="N52">
        <v>2200</v>
      </c>
      <c r="O52">
        <v>2200</v>
      </c>
      <c r="P52" t="s">
        <v>54</v>
      </c>
      <c r="Q52">
        <v>2200</v>
      </c>
      <c r="R52">
        <v>1584.615385</v>
      </c>
      <c r="S52">
        <v>13</v>
      </c>
      <c r="T52">
        <v>1100</v>
      </c>
      <c r="U52">
        <v>2200</v>
      </c>
    </row>
    <row r="53" spans="1:21">
      <c r="A53" t="s">
        <v>49</v>
      </c>
      <c r="B53">
        <v>1044</v>
      </c>
      <c r="C53" t="s">
        <v>21</v>
      </c>
      <c r="D53" t="s">
        <v>61</v>
      </c>
      <c r="E53" t="s">
        <v>62</v>
      </c>
      <c r="F53" t="s">
        <v>63</v>
      </c>
      <c r="G53" t="s">
        <v>63</v>
      </c>
      <c r="H53" t="s">
        <v>22</v>
      </c>
      <c r="I53" t="s">
        <v>64</v>
      </c>
      <c r="J53" t="s">
        <v>69</v>
      </c>
      <c r="K53" t="s">
        <v>17</v>
      </c>
      <c r="L53">
        <v>2500</v>
      </c>
      <c r="M53">
        <v>1</v>
      </c>
      <c r="N53">
        <v>2500</v>
      </c>
      <c r="O53">
        <v>2500</v>
      </c>
      <c r="P53" t="s">
        <v>54</v>
      </c>
      <c r="Q53">
        <v>2200</v>
      </c>
      <c r="R53">
        <v>1533.333333</v>
      </c>
      <c r="S53">
        <v>12</v>
      </c>
      <c r="T53">
        <v>1100</v>
      </c>
      <c r="U53">
        <v>2200</v>
      </c>
    </row>
    <row r="54" spans="1:21">
      <c r="A54" t="s">
        <v>49</v>
      </c>
      <c r="B54">
        <v>1075</v>
      </c>
      <c r="C54" t="s">
        <v>24</v>
      </c>
      <c r="D54" t="s">
        <v>83</v>
      </c>
      <c r="E54" t="s">
        <v>83</v>
      </c>
      <c r="F54" t="s">
        <v>84</v>
      </c>
      <c r="G54" t="s">
        <v>84</v>
      </c>
      <c r="H54" t="s">
        <v>25</v>
      </c>
      <c r="I54" t="s">
        <v>68</v>
      </c>
      <c r="J54" t="s">
        <v>69</v>
      </c>
      <c r="K54" t="s">
        <v>17</v>
      </c>
      <c r="L54">
        <v>1700</v>
      </c>
      <c r="M54">
        <v>1</v>
      </c>
      <c r="N54">
        <v>1700</v>
      </c>
      <c r="O54">
        <v>1700</v>
      </c>
      <c r="P54" t="s">
        <v>54</v>
      </c>
      <c r="Q54">
        <v>1900</v>
      </c>
      <c r="R54">
        <v>1472.727273</v>
      </c>
      <c r="S54">
        <v>11</v>
      </c>
      <c r="T54">
        <v>1100</v>
      </c>
      <c r="U54">
        <v>1900</v>
      </c>
    </row>
    <row r="55" spans="1:21">
      <c r="A55" t="s">
        <v>49</v>
      </c>
      <c r="B55">
        <v>1012</v>
      </c>
      <c r="C55" t="s">
        <v>18</v>
      </c>
      <c r="D55" t="s">
        <v>83</v>
      </c>
      <c r="E55" t="s">
        <v>83</v>
      </c>
      <c r="F55" t="s">
        <v>84</v>
      </c>
      <c r="G55" t="s">
        <v>84</v>
      </c>
      <c r="H55" t="s">
        <v>25</v>
      </c>
      <c r="I55" t="s">
        <v>68</v>
      </c>
      <c r="J55" t="s">
        <v>69</v>
      </c>
      <c r="K55" t="s">
        <v>17</v>
      </c>
      <c r="L55">
        <v>1700</v>
      </c>
      <c r="M55">
        <v>1</v>
      </c>
      <c r="N55">
        <v>1700</v>
      </c>
      <c r="O55">
        <v>1700</v>
      </c>
      <c r="P55" t="s">
        <v>54</v>
      </c>
      <c r="Q55">
        <v>1900</v>
      </c>
      <c r="R55">
        <v>1430</v>
      </c>
      <c r="S55">
        <v>10</v>
      </c>
      <c r="T55">
        <v>1100</v>
      </c>
      <c r="U55">
        <v>1900</v>
      </c>
    </row>
    <row r="56" spans="1:21">
      <c r="A56" t="s">
        <v>49</v>
      </c>
      <c r="B56">
        <v>1014</v>
      </c>
      <c r="C56" t="s">
        <v>18</v>
      </c>
      <c r="D56" t="s">
        <v>110</v>
      </c>
      <c r="E56" t="s">
        <v>110</v>
      </c>
      <c r="F56" t="s">
        <v>111</v>
      </c>
      <c r="G56" t="s">
        <v>111</v>
      </c>
      <c r="H56" t="s">
        <v>16</v>
      </c>
      <c r="I56" t="s">
        <v>52</v>
      </c>
      <c r="J56" t="s">
        <v>82</v>
      </c>
      <c r="K56" t="s">
        <v>20</v>
      </c>
      <c r="L56">
        <v>950</v>
      </c>
      <c r="M56">
        <v>2</v>
      </c>
      <c r="N56">
        <v>1900</v>
      </c>
      <c r="O56">
        <v>1900</v>
      </c>
      <c r="P56" t="s">
        <v>54</v>
      </c>
      <c r="Q56">
        <v>1900</v>
      </c>
      <c r="R56">
        <v>1377.777778</v>
      </c>
      <c r="S56">
        <v>9</v>
      </c>
      <c r="T56">
        <v>1100</v>
      </c>
      <c r="U56">
        <v>1900</v>
      </c>
    </row>
    <row r="57" spans="1:21">
      <c r="A57" t="s">
        <v>49</v>
      </c>
      <c r="B57">
        <v>1051</v>
      </c>
      <c r="C57" t="s">
        <v>21</v>
      </c>
      <c r="D57" t="s">
        <v>83</v>
      </c>
      <c r="E57" t="s">
        <v>83</v>
      </c>
      <c r="F57" t="s">
        <v>84</v>
      </c>
      <c r="G57" t="s">
        <v>84</v>
      </c>
      <c r="H57" t="s">
        <v>25</v>
      </c>
      <c r="I57" t="s">
        <v>68</v>
      </c>
      <c r="J57" t="s">
        <v>53</v>
      </c>
      <c r="K57" t="s">
        <v>17</v>
      </c>
      <c r="L57">
        <v>850</v>
      </c>
      <c r="M57">
        <v>2</v>
      </c>
      <c r="N57">
        <v>1700</v>
      </c>
      <c r="O57">
        <v>1700</v>
      </c>
      <c r="P57" t="s">
        <v>54</v>
      </c>
      <c r="Q57">
        <v>1900</v>
      </c>
      <c r="R57">
        <v>1312.5</v>
      </c>
      <c r="S57">
        <v>8</v>
      </c>
      <c r="T57">
        <v>1100</v>
      </c>
      <c r="U57">
        <v>1900</v>
      </c>
    </row>
    <row r="58" spans="1:21">
      <c r="A58" t="s">
        <v>49</v>
      </c>
      <c r="B58">
        <v>1077</v>
      </c>
      <c r="C58" t="s">
        <v>24</v>
      </c>
      <c r="D58" t="s">
        <v>94</v>
      </c>
      <c r="E58" t="s">
        <v>95</v>
      </c>
      <c r="F58" t="s">
        <v>96</v>
      </c>
      <c r="G58" t="s">
        <v>97</v>
      </c>
      <c r="H58" t="s">
        <v>16</v>
      </c>
      <c r="I58" t="s">
        <v>52</v>
      </c>
      <c r="J58" t="s">
        <v>76</v>
      </c>
      <c r="K58" t="s">
        <v>23</v>
      </c>
      <c r="L58">
        <v>700</v>
      </c>
      <c r="M58">
        <v>2</v>
      </c>
      <c r="N58">
        <v>1400</v>
      </c>
      <c r="O58">
        <v>1400</v>
      </c>
      <c r="P58" t="s">
        <v>54</v>
      </c>
      <c r="Q58">
        <v>1400</v>
      </c>
      <c r="R58">
        <v>1228.571429</v>
      </c>
      <c r="S58">
        <v>7</v>
      </c>
      <c r="T58">
        <v>1100</v>
      </c>
      <c r="U58">
        <v>1400</v>
      </c>
    </row>
    <row r="59" spans="1:21">
      <c r="A59" t="s">
        <v>49</v>
      </c>
      <c r="B59">
        <v>1029</v>
      </c>
      <c r="C59" t="s">
        <v>21</v>
      </c>
      <c r="D59" t="s">
        <v>110</v>
      </c>
      <c r="E59" t="s">
        <v>110</v>
      </c>
      <c r="F59" t="s">
        <v>111</v>
      </c>
      <c r="G59" t="s">
        <v>111</v>
      </c>
      <c r="H59" t="s">
        <v>16</v>
      </c>
      <c r="I59" t="s">
        <v>52</v>
      </c>
      <c r="J59" t="s">
        <v>107</v>
      </c>
      <c r="K59" t="s">
        <v>17</v>
      </c>
      <c r="L59">
        <v>700</v>
      </c>
      <c r="M59">
        <v>2</v>
      </c>
      <c r="N59">
        <v>1400</v>
      </c>
      <c r="O59">
        <v>1400</v>
      </c>
      <c r="P59" t="s">
        <v>54</v>
      </c>
      <c r="Q59">
        <v>1400</v>
      </c>
      <c r="R59">
        <v>1200</v>
      </c>
      <c r="S59">
        <v>6</v>
      </c>
      <c r="T59">
        <v>1100</v>
      </c>
      <c r="U59">
        <v>1400</v>
      </c>
    </row>
    <row r="60" spans="1:21">
      <c r="A60" t="s">
        <v>49</v>
      </c>
      <c r="B60">
        <v>1031</v>
      </c>
      <c r="C60" t="s">
        <v>21</v>
      </c>
      <c r="D60" t="s">
        <v>74</v>
      </c>
      <c r="E60" t="s">
        <v>74</v>
      </c>
      <c r="F60" t="s">
        <v>75</v>
      </c>
      <c r="G60" t="s">
        <v>75</v>
      </c>
      <c r="H60" t="s">
        <v>25</v>
      </c>
      <c r="I60" t="s">
        <v>68</v>
      </c>
      <c r="J60" t="s">
        <v>107</v>
      </c>
      <c r="K60" t="s">
        <v>17</v>
      </c>
      <c r="L60">
        <v>650</v>
      </c>
      <c r="M60">
        <v>2</v>
      </c>
      <c r="N60">
        <v>1300</v>
      </c>
      <c r="O60">
        <v>1300</v>
      </c>
      <c r="P60" t="s">
        <v>54</v>
      </c>
      <c r="Q60">
        <v>1400</v>
      </c>
      <c r="R60">
        <v>1160</v>
      </c>
      <c r="S60">
        <v>5</v>
      </c>
      <c r="T60">
        <v>1100</v>
      </c>
      <c r="U60">
        <v>1400</v>
      </c>
    </row>
    <row r="61" spans="1:21">
      <c r="A61" t="s">
        <v>49</v>
      </c>
      <c r="B61">
        <v>1084</v>
      </c>
      <c r="C61" t="s">
        <v>24</v>
      </c>
      <c r="D61" t="s">
        <v>112</v>
      </c>
      <c r="E61" t="s">
        <v>112</v>
      </c>
      <c r="F61" t="s">
        <v>113</v>
      </c>
      <c r="G61" t="s">
        <v>113</v>
      </c>
      <c r="H61" t="s">
        <v>22</v>
      </c>
      <c r="I61" t="s">
        <v>64</v>
      </c>
      <c r="J61" t="s">
        <v>69</v>
      </c>
      <c r="K61" t="s">
        <v>17</v>
      </c>
      <c r="L61">
        <v>1200</v>
      </c>
      <c r="M61">
        <v>1</v>
      </c>
      <c r="N61">
        <v>1200</v>
      </c>
      <c r="O61">
        <v>1200</v>
      </c>
      <c r="P61" t="s">
        <v>54</v>
      </c>
      <c r="Q61">
        <v>1100</v>
      </c>
      <c r="R61">
        <v>1100</v>
      </c>
      <c r="S61">
        <v>4</v>
      </c>
      <c r="T61">
        <v>1100</v>
      </c>
      <c r="U61">
        <v>1100</v>
      </c>
    </row>
    <row r="62" spans="1:21">
      <c r="A62" t="s">
        <v>49</v>
      </c>
      <c r="B62">
        <v>1010</v>
      </c>
      <c r="C62" t="s">
        <v>18</v>
      </c>
      <c r="D62" t="s">
        <v>50</v>
      </c>
      <c r="E62" t="s">
        <v>50</v>
      </c>
      <c r="F62" t="s">
        <v>51</v>
      </c>
      <c r="G62" t="s">
        <v>51</v>
      </c>
      <c r="H62" t="s">
        <v>16</v>
      </c>
      <c r="I62" t="s">
        <v>52</v>
      </c>
      <c r="J62" t="s">
        <v>60</v>
      </c>
      <c r="K62" t="s">
        <v>20</v>
      </c>
      <c r="L62">
        <v>1100</v>
      </c>
      <c r="M62">
        <v>1</v>
      </c>
      <c r="N62">
        <v>1100</v>
      </c>
      <c r="O62">
        <v>1100</v>
      </c>
      <c r="P62" t="s">
        <v>54</v>
      </c>
      <c r="Q62">
        <v>1100</v>
      </c>
      <c r="R62">
        <v>1100</v>
      </c>
      <c r="S62">
        <v>3</v>
      </c>
      <c r="T62">
        <v>1100</v>
      </c>
      <c r="U62">
        <v>1100</v>
      </c>
    </row>
    <row r="63" spans="1:21">
      <c r="A63" t="s">
        <v>49</v>
      </c>
      <c r="B63">
        <v>1030</v>
      </c>
      <c r="C63" t="s">
        <v>21</v>
      </c>
      <c r="D63" t="s">
        <v>112</v>
      </c>
      <c r="E63" t="s">
        <v>112</v>
      </c>
      <c r="F63" t="s">
        <v>113</v>
      </c>
      <c r="G63" t="s">
        <v>113</v>
      </c>
      <c r="H63" t="s">
        <v>22</v>
      </c>
      <c r="I63" t="s">
        <v>64</v>
      </c>
      <c r="J63" t="s">
        <v>107</v>
      </c>
      <c r="K63" t="s">
        <v>17</v>
      </c>
      <c r="L63">
        <v>600</v>
      </c>
      <c r="M63">
        <v>2</v>
      </c>
      <c r="N63">
        <v>1200</v>
      </c>
      <c r="O63">
        <v>1200</v>
      </c>
      <c r="P63" t="s">
        <v>54</v>
      </c>
      <c r="Q63">
        <v>1100</v>
      </c>
      <c r="R63">
        <v>1100</v>
      </c>
      <c r="S63">
        <v>2</v>
      </c>
      <c r="T63">
        <v>1100</v>
      </c>
      <c r="U63">
        <v>1100</v>
      </c>
    </row>
    <row r="64" spans="1:21">
      <c r="A64" t="s">
        <v>49</v>
      </c>
      <c r="B64">
        <v>1053</v>
      </c>
      <c r="C64" t="s">
        <v>21</v>
      </c>
      <c r="D64" t="s">
        <v>90</v>
      </c>
      <c r="E64" t="s">
        <v>90</v>
      </c>
      <c r="F64" t="s">
        <v>91</v>
      </c>
      <c r="G64" t="s">
        <v>91</v>
      </c>
      <c r="H64" t="s">
        <v>22</v>
      </c>
      <c r="I64" t="s">
        <v>64</v>
      </c>
      <c r="J64" t="s">
        <v>76</v>
      </c>
      <c r="K64" t="s">
        <v>23</v>
      </c>
      <c r="L64">
        <v>1300</v>
      </c>
      <c r="M64">
        <v>1</v>
      </c>
      <c r="N64">
        <v>1300</v>
      </c>
      <c r="O64">
        <v>1300</v>
      </c>
      <c r="P64" t="s">
        <v>54</v>
      </c>
      <c r="Q64">
        <v>1100</v>
      </c>
      <c r="R64">
        <v>1100</v>
      </c>
      <c r="S64">
        <v>1</v>
      </c>
      <c r="T64">
        <v>1100</v>
      </c>
      <c r="U64">
        <v>1100</v>
      </c>
    </row>
  </sheetData>
  <autoFilter xmlns:etc="http://www.wps.cn/officeDocument/2017/etCustomData" ref="A1:U6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1"/>
  <cols>
    <col min="1" max="1" width="16" customWidth="1"/>
    <col min="2" max="2" width="28" customWidth="1"/>
  </cols>
  <sheetData>
    <row r="1" spans="1:2">
      <c r="A1" s="4" t="s">
        <v>12</v>
      </c>
      <c r="B1" s="4" t="s">
        <v>13</v>
      </c>
    </row>
    <row r="2" spans="1:2">
      <c r="A2" s="5" t="s">
        <v>16</v>
      </c>
      <c r="B2" s="6">
        <f>SUMIF(Orders!$H$2:$H$64,A2,Orders!$O$2:$O$64)</f>
        <v>62900</v>
      </c>
    </row>
    <row r="3" spans="1:2">
      <c r="A3" s="5" t="s">
        <v>19</v>
      </c>
      <c r="B3" s="6">
        <f>SUMIF(Orders!$H$2:$H$64,A3,Orders!$O$2:$O$64)</f>
        <v>119300</v>
      </c>
    </row>
    <row r="4" spans="1:2">
      <c r="A4" s="5" t="s">
        <v>22</v>
      </c>
      <c r="B4" s="6">
        <f>SUMIF(Orders!$H$2:$H$64,A4,Orders!$O$2:$O$64)</f>
        <v>82500</v>
      </c>
    </row>
    <row r="5" spans="1:2">
      <c r="A5" s="5" t="s">
        <v>25</v>
      </c>
      <c r="B5" s="6">
        <f>SUMIF(Orders!$H$2:$H$64,A5,Orders!$O$2:$O$64)</f>
        <v>81500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3" outlineLevelCol="1"/>
  <cols>
    <col min="1" max="1" width="16" customWidth="1"/>
    <col min="2" max="2" width="28" customWidth="1"/>
  </cols>
  <sheetData>
    <row r="1" spans="1:2">
      <c r="A1" s="4" t="s">
        <v>14</v>
      </c>
      <c r="B1" s="4" t="s">
        <v>13</v>
      </c>
    </row>
    <row r="2" spans="1:2">
      <c r="A2" s="5" t="s">
        <v>17</v>
      </c>
      <c r="B2" s="6">
        <f>SUMIF(Orders!$K$2:$K$64,A2,Orders!$O$2:$O$64)</f>
        <v>125300</v>
      </c>
    </row>
    <row r="3" spans="1:2">
      <c r="A3" s="5" t="s">
        <v>20</v>
      </c>
      <c r="B3" s="6">
        <f>SUMIF(Orders!$K$2:$K$64,A3,Orders!$O$2:$O$64)</f>
        <v>124100</v>
      </c>
    </row>
    <row r="4" spans="1:2">
      <c r="A4" s="5" t="s">
        <v>23</v>
      </c>
      <c r="B4" s="6">
        <f>SUMIF(Orders!$K$2:$K$64,A4,Orders!$O$2:$O$64)</f>
        <v>96800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1"/>
  <cols>
    <col min="1" max="1" width="16" customWidth="1"/>
    <col min="2" max="2" width="28" customWidth="1"/>
  </cols>
  <sheetData>
    <row r="1" spans="1:2">
      <c r="A1" s="4" t="s">
        <v>114</v>
      </c>
      <c r="B1" s="4" t="s">
        <v>13</v>
      </c>
    </row>
    <row r="2" spans="1:2">
      <c r="A2" s="5" t="s">
        <v>18</v>
      </c>
      <c r="B2" s="6">
        <f>SUMIF(Orders!$C$2:$C$64,A2,Orders!$O$2:$O$64)</f>
        <v>103100</v>
      </c>
    </row>
    <row r="3" spans="1:2">
      <c r="A3" s="5" t="s">
        <v>21</v>
      </c>
      <c r="B3" s="6">
        <f>SUMIF(Orders!$C$2:$C$64,A3,Orders!$O$2:$O$64)</f>
        <v>92700</v>
      </c>
    </row>
    <row r="4" spans="1:2">
      <c r="A4" s="5" t="s">
        <v>24</v>
      </c>
      <c r="B4" s="6">
        <f>SUMIF(Orders!$C$2:$C$64,A4,Orders!$O$2:$O$64)</f>
        <v>150400</v>
      </c>
    </row>
    <row r="5" spans="1:2">
      <c r="A5" s="5" t="s">
        <v>26</v>
      </c>
      <c r="B5" s="6">
        <f>SUMIF(Orders!$C$2:$C$64,A5,Orders!$O$2:$O$64)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3"/>
  <cols>
    <col min="1" max="1" width="16" customWidth="1"/>
    <col min="2" max="4" width="28" customWidth="1"/>
  </cols>
  <sheetData>
    <row r="1" spans="1:4">
      <c r="A1" s="4" t="s">
        <v>12</v>
      </c>
      <c r="B1" s="4" t="s">
        <v>17</v>
      </c>
      <c r="C1" s="4" t="s">
        <v>20</v>
      </c>
      <c r="D1" s="4" t="s">
        <v>23</v>
      </c>
    </row>
    <row r="2" spans="1:4">
      <c r="A2" s="5" t="s">
        <v>16</v>
      </c>
      <c r="B2" s="6">
        <f>SUMIFS(Orders!$O$2:$O$64,Orders!$H$2:$H$64,$A2,Orders!$K$2:$K$64,B1)</f>
        <v>35000</v>
      </c>
      <c r="C2" s="6">
        <f>SUMIFS(Orders!$O$2:$O$64,Orders!$H$2:$H$64,$A2,Orders!$K$2:$K$64,C1)</f>
        <v>12600</v>
      </c>
      <c r="D2" s="6">
        <f>SUMIFS(Orders!$O$2:$O$64,Orders!$H$2:$H$64,$A2,Orders!$K$2:$K$64,D1)</f>
        <v>15300</v>
      </c>
    </row>
    <row r="3" spans="1:4">
      <c r="A3" s="5" t="s">
        <v>19</v>
      </c>
      <c r="B3" s="6">
        <f>SUMIFS(Orders!$O$2:$O$64,Orders!$H$2:$H$64,$A3,Orders!$K$2:$K$64,B1)</f>
        <v>29900</v>
      </c>
      <c r="C3" s="6">
        <f>SUMIFS(Orders!$O$2:$O$64,Orders!$H$2:$H$64,$A3,Orders!$K$2:$K$64,C1)</f>
        <v>66600</v>
      </c>
      <c r="D3" s="6">
        <f>SUMIFS(Orders!$O$2:$O$64,Orders!$H$2:$H$64,$A3,Orders!$K$2:$K$64,D1)</f>
        <v>22800</v>
      </c>
    </row>
    <row r="4" spans="1:4">
      <c r="A4" s="5" t="s">
        <v>22</v>
      </c>
      <c r="B4" s="6">
        <f>SUMIFS(Orders!$O$2:$O$64,Orders!$H$2:$H$64,$A4,Orders!$K$2:$K$64,B1)</f>
        <v>16600</v>
      </c>
      <c r="C4" s="6">
        <f>SUMIFS(Orders!$O$2:$O$64,Orders!$H$2:$H$64,$A4,Orders!$K$2:$K$64,C1)</f>
        <v>29300</v>
      </c>
      <c r="D4" s="6">
        <f>SUMIFS(Orders!$O$2:$O$64,Orders!$H$2:$H$64,$A4,Orders!$K$2:$K$64,D1)</f>
        <v>36600</v>
      </c>
    </row>
    <row r="5" spans="1:4">
      <c r="A5" s="5" t="s">
        <v>25</v>
      </c>
      <c r="B5" s="6">
        <f>SUMIFS(Orders!$O$2:$O$64,Orders!$H$2:$H$64,$A5,Orders!$K$2:$K$64,B1)</f>
        <v>43800</v>
      </c>
      <c r="C5" s="6">
        <f>SUMIFS(Orders!$O$2:$O$64,Orders!$H$2:$H$64,$A5,Orders!$K$2:$K$64,C1)</f>
        <v>15600</v>
      </c>
      <c r="D5" s="6">
        <f>SUMIFS(Orders!$O$2:$O$64,Orders!$H$2:$H$64,$A5,Orders!$K$2:$K$64,D1)</f>
        <v>22100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9" defaultRowHeight="15" outlineLevelRow="7" outlineLevelCol="5"/>
  <cols>
    <col min="1" max="1" width="22" customWidth="1"/>
    <col min="2" max="6" width="20" customWidth="1"/>
  </cols>
  <sheetData>
    <row r="1" ht="21" spans="1:2">
      <c r="A1" s="1" t="s">
        <v>115</v>
      </c>
    </row>
    <row r="3" ht="45" customHeight="1" spans="1:2">
      <c r="A3" s="2" t="s">
        <v>116</v>
      </c>
      <c r="B3" s="3" t="s">
        <v>117</v>
      </c>
    </row>
    <row r="4" ht="45" customHeight="1" spans="1:2">
      <c r="A4" s="2" t="s">
        <v>118</v>
      </c>
      <c r="B4" s="3" t="s">
        <v>119</v>
      </c>
    </row>
    <row r="5" ht="32" customHeight="1" spans="1:2">
      <c r="A5" s="2" t="s">
        <v>120</v>
      </c>
      <c r="B5" s="3" t="s">
        <v>121</v>
      </c>
    </row>
    <row r="6" ht="32" customHeight="1" spans="1:2">
      <c r="A6" s="2" t="s">
        <v>122</v>
      </c>
      <c r="B6" s="3" t="s">
        <v>123</v>
      </c>
    </row>
    <row r="7" ht="32" customHeight="1" spans="1:2">
      <c r="A7" s="2" t="s">
        <v>124</v>
      </c>
      <c r="B7" s="3" t="s">
        <v>125</v>
      </c>
    </row>
    <row r="8" ht="45" customHeight="1" spans="1:2">
      <c r="A8" s="2" t="s">
        <v>126</v>
      </c>
      <c r="B8" s="3" t="s">
        <v>127</v>
      </c>
    </row>
  </sheetData>
  <mergeCells count="7">
    <mergeCell ref="A1:F1"/>
    <mergeCell ref="B3:F3"/>
    <mergeCell ref="B4:F4"/>
    <mergeCell ref="B5:F5"/>
    <mergeCell ref="B6:F6"/>
    <mergeCell ref="B7:F7"/>
    <mergeCell ref="B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Orders</vt:lpstr>
      <vt:lpstr>Region Summary</vt:lpstr>
      <vt:lpstr>Category Summary</vt:lpstr>
      <vt:lpstr>Monthly Trend</vt:lpstr>
      <vt:lpstr>Region x Category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FIREMAN</cp:lastModifiedBy>
  <dcterms:created xsi:type="dcterms:W3CDTF">2026-10-25T21:39:00Z</dcterms:created>
  <dcterms:modified xsi:type="dcterms:W3CDTF">2026-10-25T21:42:09Z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7B6FFD6F58A948BFB276D435AEE53B7C_13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